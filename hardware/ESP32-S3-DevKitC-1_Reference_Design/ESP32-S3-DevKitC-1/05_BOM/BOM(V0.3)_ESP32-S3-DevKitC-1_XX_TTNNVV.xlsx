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7"/>
  <workbookPr/>
  <mc:AlternateContent xmlns:mc="http://schemas.openxmlformats.org/markup-compatibility/2006">
    <mc:Choice Requires="x15">
      <x15ac:absPath xmlns:x15ac="http://schemas.microsoft.com/office/spreadsheetml/2010/11/ac" url="/Users/wangdong/Espresscif Work/3. Project management/2.1 HW team project/3.6 ESP32-S3-Chip7.2.8 MP模组及开发板/3. EV Board-chip7.2.8/1. 参考设计发布/ESP32-S3-DevKitC-1_HF_20221130_V05/05_BOM/"/>
    </mc:Choice>
  </mc:AlternateContent>
  <xr:revisionPtr revIDLastSave="0" documentId="13_ncr:1_{793555C0-9B37-644B-9921-BA39ECFF65B3}" xr6:coauthVersionLast="47" xr6:coauthVersionMax="47" xr10:uidLastSave="{00000000-0000-0000-0000-000000000000}"/>
  <bookViews>
    <workbookView xWindow="0" yWindow="760" windowWidth="21720" windowHeight="10120" xr2:uid="{00000000-000D-0000-FFFF-FFFF00000000}"/>
  </bookViews>
  <sheets>
    <sheet name="ESP32-S3-DevKitC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10" i="1"/>
</calcChain>
</file>

<file path=xl/sharedStrings.xml><?xml version="1.0" encoding="utf-8"?>
<sst xmlns="http://schemas.openxmlformats.org/spreadsheetml/2006/main" count="207" uniqueCount="145">
  <si>
    <t>BOM(V0.3)_ESP32-S3-DevKitC-1</t>
  </si>
  <si>
    <t>Item Number</t>
  </si>
  <si>
    <t>Quantity</t>
  </si>
  <si>
    <t>Part Reference</t>
  </si>
  <si>
    <t>Value</t>
  </si>
  <si>
    <t>PCB Footprint</t>
  </si>
  <si>
    <t>Part Type</t>
  </si>
  <si>
    <t>Description</t>
  </si>
  <si>
    <t>Manufacturer</t>
  </si>
  <si>
    <t>Manufacturer Part #</t>
  </si>
  <si>
    <t>C2,C8,C9</t>
  </si>
  <si>
    <t>0.1uF/50V(10%)</t>
  </si>
  <si>
    <t>C0402</t>
  </si>
  <si>
    <t>Capacitor</t>
  </si>
  <si>
    <r>
      <rPr>
        <sz val="10"/>
        <rFont val="Times New Roman"/>
        <family val="1"/>
      </rPr>
      <t>MLCC, X5R, H0.5, -55</t>
    </r>
    <r>
      <rPr>
        <sz val="10"/>
        <rFont val="宋体"/>
        <family val="3"/>
        <charset val="134"/>
      </rPr>
      <t>℃</t>
    </r>
    <r>
      <rPr>
        <sz val="10"/>
        <rFont val="Times New Roman"/>
        <family val="1"/>
      </rPr>
      <t>~85</t>
    </r>
    <r>
      <rPr>
        <sz val="10"/>
        <rFont val="宋体"/>
        <family val="3"/>
        <charset val="134"/>
      </rPr>
      <t>℃</t>
    </r>
  </si>
  <si>
    <t xml:space="preserve">EYANG </t>
  </si>
  <si>
    <t>C0402X5R104K500NTC</t>
  </si>
  <si>
    <t>Sumsang</t>
  </si>
  <si>
    <t>CL05A104KB5NNNC</t>
  </si>
  <si>
    <r>
      <rPr>
        <sz val="10"/>
        <rFont val="Times New Roman"/>
        <family val="1"/>
      </rPr>
      <t>MLCC, X7R, H0.5, -55</t>
    </r>
    <r>
      <rPr>
        <sz val="10"/>
        <rFont val="宋体"/>
        <family val="3"/>
        <charset val="134"/>
      </rPr>
      <t>℃</t>
    </r>
    <r>
      <rPr>
        <sz val="10"/>
        <rFont val="Times New Roman"/>
        <family val="1"/>
      </rPr>
      <t>~125</t>
    </r>
    <r>
      <rPr>
        <sz val="10"/>
        <rFont val="宋体"/>
        <family val="3"/>
        <charset val="134"/>
      </rPr>
      <t>℃</t>
    </r>
  </si>
  <si>
    <t>muRata</t>
  </si>
  <si>
    <t>GRM155R71H104KE14D</t>
  </si>
  <si>
    <t>C6,C12</t>
  </si>
  <si>
    <t>1uF/16V(10%)</t>
  </si>
  <si>
    <r>
      <rPr>
        <sz val="10"/>
        <color theme="1"/>
        <rFont val="Times New Roman"/>
        <family val="1"/>
      </rPr>
      <t>MLCC, X6S, H0.5, -55</t>
    </r>
    <r>
      <rPr>
        <sz val="10"/>
        <color theme="1"/>
        <rFont val="宋体"/>
        <family val="3"/>
        <charset val="134"/>
      </rPr>
      <t>℃</t>
    </r>
    <r>
      <rPr>
        <sz val="10"/>
        <color theme="1"/>
        <rFont val="Times New Roman"/>
        <family val="1"/>
      </rPr>
      <t>~105</t>
    </r>
    <r>
      <rPr>
        <sz val="10"/>
        <color theme="1"/>
        <rFont val="宋体"/>
        <family val="3"/>
        <charset val="134"/>
      </rPr>
      <t>℃</t>
    </r>
  </si>
  <si>
    <t>GRM155C81C105KE11D</t>
  </si>
  <si>
    <t>C1,C3,C7,C10,C11</t>
  </si>
  <si>
    <t>10uF/25V(20%)</t>
  </si>
  <si>
    <t>C0603</t>
  </si>
  <si>
    <r>
      <rPr>
        <sz val="10"/>
        <color theme="1"/>
        <rFont val="Times New Roman"/>
        <family val="1"/>
      </rPr>
      <t>MLCC, X5R, H0.8, -55</t>
    </r>
    <r>
      <rPr>
        <sz val="10"/>
        <color theme="1"/>
        <rFont val="宋体"/>
        <family val="3"/>
        <charset val="134"/>
      </rPr>
      <t>℃</t>
    </r>
    <r>
      <rPr>
        <sz val="10"/>
        <color theme="1"/>
        <rFont val="Times New Roman"/>
        <family val="1"/>
      </rPr>
      <t>~85</t>
    </r>
    <r>
      <rPr>
        <sz val="10"/>
        <color theme="1"/>
        <rFont val="宋体"/>
        <family val="3"/>
        <charset val="134"/>
      </rPr>
      <t>℃</t>
    </r>
  </si>
  <si>
    <t>GRM188R61E106MA73D</t>
  </si>
  <si>
    <t>R7,R8,R9,R13,R17</t>
  </si>
  <si>
    <t>0(1%)</t>
  </si>
  <si>
    <t>R0402</t>
  </si>
  <si>
    <t>Resistor</t>
  </si>
  <si>
    <r>
      <rPr>
        <sz val="10"/>
        <color theme="1"/>
        <rFont val="Times New Roman"/>
        <family val="1"/>
      </rPr>
      <t>Thick Film Resistors, SMD, 0(1%), 1/16w, H0.35, -55</t>
    </r>
    <r>
      <rPr>
        <sz val="10"/>
        <color theme="1"/>
        <rFont val="宋体"/>
        <family val="3"/>
        <charset val="134"/>
      </rPr>
      <t>℃</t>
    </r>
    <r>
      <rPr>
        <sz val="10"/>
        <color theme="1"/>
        <rFont val="Times New Roman"/>
        <family val="1"/>
      </rPr>
      <t>~155</t>
    </r>
    <r>
      <rPr>
        <sz val="10"/>
        <color theme="1"/>
        <rFont val="宋体"/>
        <family val="3"/>
        <charset val="134"/>
      </rPr>
      <t>℃</t>
    </r>
  </si>
  <si>
    <t>UniOhm</t>
  </si>
  <si>
    <t>0402WGF0000TCE</t>
  </si>
  <si>
    <r>
      <rPr>
        <sz val="10"/>
        <rFont val="Times New Roman"/>
        <family val="1"/>
      </rPr>
      <t>Thick Film Resistors, SMD, 0(1%), 1/16w, H0.35, -55</t>
    </r>
    <r>
      <rPr>
        <sz val="10"/>
        <rFont val="宋体"/>
        <family val="3"/>
        <charset val="134"/>
      </rPr>
      <t>℃</t>
    </r>
    <r>
      <rPr>
        <sz val="10"/>
        <rFont val="Times New Roman"/>
        <family val="1"/>
      </rPr>
      <t>~155</t>
    </r>
    <r>
      <rPr>
        <sz val="10"/>
        <rFont val="宋体"/>
        <family val="3"/>
        <charset val="134"/>
      </rPr>
      <t>℃</t>
    </r>
  </si>
  <si>
    <t>YAGEO</t>
  </si>
  <si>
    <t>RC0402FR-070RL</t>
  </si>
  <si>
    <t>R24</t>
  </si>
  <si>
    <t>R0603</t>
  </si>
  <si>
    <t>0603WAF0000T5E</t>
  </si>
  <si>
    <t>RC0603FR-070RL</t>
  </si>
  <si>
    <t>R16</t>
  </si>
  <si>
    <t>1K(1%)</t>
  </si>
  <si>
    <r>
      <rPr>
        <sz val="10"/>
        <color theme="1"/>
        <rFont val="Times New Roman"/>
        <family val="1"/>
      </rPr>
      <t>Thick Film Resistors, SMD, 1K(1%), 1/16w, H0.35, -55</t>
    </r>
    <r>
      <rPr>
        <sz val="10"/>
        <color theme="1"/>
        <rFont val="宋体"/>
        <family val="3"/>
        <charset val="134"/>
      </rPr>
      <t>℃</t>
    </r>
    <r>
      <rPr>
        <sz val="10"/>
        <color theme="1"/>
        <rFont val="Times New Roman"/>
        <family val="1"/>
      </rPr>
      <t>~155</t>
    </r>
    <r>
      <rPr>
        <sz val="10"/>
        <color theme="1"/>
        <rFont val="宋体"/>
        <family val="3"/>
        <charset val="134"/>
      </rPr>
      <t>℃</t>
    </r>
  </si>
  <si>
    <t>0402WGF1001TCE</t>
  </si>
  <si>
    <r>
      <rPr>
        <sz val="10"/>
        <rFont val="Times New Roman"/>
        <family val="1"/>
      </rPr>
      <t>Thick Film Resistors, SMD, 1K(1%), 1/16w, H0.35, -55</t>
    </r>
    <r>
      <rPr>
        <sz val="10"/>
        <rFont val="宋体"/>
        <family val="3"/>
        <charset val="134"/>
      </rPr>
      <t>℃</t>
    </r>
    <r>
      <rPr>
        <sz val="10"/>
        <rFont val="Times New Roman"/>
        <family val="1"/>
      </rPr>
      <t>~155</t>
    </r>
    <r>
      <rPr>
        <sz val="10"/>
        <rFont val="宋体"/>
        <family val="3"/>
        <charset val="134"/>
      </rPr>
      <t>℃</t>
    </r>
  </si>
  <si>
    <t>RC0402FR-071KL</t>
  </si>
  <si>
    <t>R11</t>
  </si>
  <si>
    <t>5.1K(1%)</t>
  </si>
  <si>
    <r>
      <rPr>
        <sz val="10"/>
        <color theme="1"/>
        <rFont val="Times New Roman"/>
        <family val="1"/>
      </rPr>
      <t>Thick Film Resistors, SMD, 5.1K(1%), 1/16w, H0.35, -55</t>
    </r>
    <r>
      <rPr>
        <sz val="10"/>
        <color theme="1"/>
        <rFont val="宋体"/>
        <family val="3"/>
        <charset val="134"/>
      </rPr>
      <t>℃</t>
    </r>
    <r>
      <rPr>
        <sz val="10"/>
        <color theme="1"/>
        <rFont val="Times New Roman"/>
        <family val="1"/>
      </rPr>
      <t>~155</t>
    </r>
    <r>
      <rPr>
        <sz val="10"/>
        <color theme="1"/>
        <rFont val="宋体"/>
        <family val="3"/>
        <charset val="134"/>
      </rPr>
      <t>℃</t>
    </r>
  </si>
  <si>
    <t>0402WGF5101TCE</t>
  </si>
  <si>
    <r>
      <rPr>
        <sz val="10"/>
        <rFont val="Times New Roman"/>
        <family val="1"/>
      </rPr>
      <t>Thick Film Resistors, SMD, 5.1K(1%), 1/16w, H0.35, -55</t>
    </r>
    <r>
      <rPr>
        <sz val="10"/>
        <rFont val="宋体"/>
        <family val="3"/>
        <charset val="134"/>
      </rPr>
      <t>℃</t>
    </r>
    <r>
      <rPr>
        <sz val="10"/>
        <rFont val="Times New Roman"/>
        <family val="1"/>
      </rPr>
      <t>~155</t>
    </r>
    <r>
      <rPr>
        <sz val="10"/>
        <rFont val="宋体"/>
        <family val="3"/>
        <charset val="134"/>
      </rPr>
      <t>℃</t>
    </r>
  </si>
  <si>
    <t>RC0402FR-075K1L</t>
  </si>
  <si>
    <t>R5,R10,R12</t>
  </si>
  <si>
    <t>10K(1%)</t>
  </si>
  <si>
    <r>
      <rPr>
        <sz val="10"/>
        <color theme="1"/>
        <rFont val="Times New Roman"/>
        <family val="1"/>
      </rPr>
      <t>Thick Film Resistors, SMD, 10K(1%), 1/16w, H0.35, -55</t>
    </r>
    <r>
      <rPr>
        <sz val="10"/>
        <color theme="1"/>
        <rFont val="宋体"/>
        <family val="3"/>
        <charset val="134"/>
      </rPr>
      <t>℃</t>
    </r>
    <r>
      <rPr>
        <sz val="10"/>
        <color theme="1"/>
        <rFont val="Times New Roman"/>
        <family val="1"/>
      </rPr>
      <t>~155</t>
    </r>
    <r>
      <rPr>
        <sz val="10"/>
        <color theme="1"/>
        <rFont val="宋体"/>
        <family val="3"/>
        <charset val="134"/>
      </rPr>
      <t>℃</t>
    </r>
  </si>
  <si>
    <t>0402WGF1002TCE</t>
  </si>
  <si>
    <r>
      <rPr>
        <sz val="10"/>
        <rFont val="Times New Roman"/>
        <family val="1"/>
      </rPr>
      <t>Thick Film Resistors, SMD, 10K(1%), 1/16w, H0.35, -55</t>
    </r>
    <r>
      <rPr>
        <sz val="10"/>
        <rFont val="宋体"/>
        <family val="3"/>
        <charset val="134"/>
      </rPr>
      <t>℃</t>
    </r>
    <r>
      <rPr>
        <sz val="10"/>
        <rFont val="Times New Roman"/>
        <family val="1"/>
      </rPr>
      <t>~155</t>
    </r>
    <r>
      <rPr>
        <sz val="10"/>
        <rFont val="宋体"/>
        <family val="3"/>
        <charset val="134"/>
      </rPr>
      <t>℃</t>
    </r>
  </si>
  <si>
    <t>RC0402FR-0710KL</t>
  </si>
  <si>
    <t>R19</t>
  </si>
  <si>
    <t>22.1K(1%)</t>
  </si>
  <si>
    <r>
      <rPr>
        <sz val="10"/>
        <color theme="1"/>
        <rFont val="Times New Roman"/>
        <family val="1"/>
      </rPr>
      <t>Thick Film Resistors, SMD, 22.1K(1%), 1/16w, H0.35, -55</t>
    </r>
    <r>
      <rPr>
        <sz val="10"/>
        <color theme="1"/>
        <rFont val="宋体"/>
        <family val="3"/>
        <charset val="134"/>
      </rPr>
      <t>℃</t>
    </r>
    <r>
      <rPr>
        <sz val="10"/>
        <color theme="1"/>
        <rFont val="Times New Roman"/>
        <family val="1"/>
      </rPr>
      <t>~155</t>
    </r>
    <r>
      <rPr>
        <sz val="10"/>
        <color theme="1"/>
        <rFont val="宋体"/>
        <family val="3"/>
        <charset val="134"/>
      </rPr>
      <t>℃</t>
    </r>
  </si>
  <si>
    <t>0402WGF2212TCE</t>
  </si>
  <si>
    <t>RC0402FR-0722K1L</t>
  </si>
  <si>
    <t>R18</t>
  </si>
  <si>
    <t>47.5K(1%)</t>
  </si>
  <si>
    <r>
      <rPr>
        <sz val="10"/>
        <color theme="1"/>
        <rFont val="Times New Roman"/>
        <family val="1"/>
      </rPr>
      <t>Thick Film Resistors, SMD, 47.5K(1%), 1/16w, H0.35, -55</t>
    </r>
    <r>
      <rPr>
        <sz val="10"/>
        <color theme="1"/>
        <rFont val="宋体"/>
        <family val="3"/>
        <charset val="134"/>
      </rPr>
      <t>℃</t>
    </r>
    <r>
      <rPr>
        <sz val="10"/>
        <color theme="1"/>
        <rFont val="Times New Roman"/>
        <family val="1"/>
      </rPr>
      <t>~155</t>
    </r>
    <r>
      <rPr>
        <sz val="10"/>
        <color theme="1"/>
        <rFont val="宋体"/>
        <family val="3"/>
        <charset val="134"/>
      </rPr>
      <t>℃</t>
    </r>
  </si>
  <si>
    <t>0402WGF4752TCE</t>
  </si>
  <si>
    <t>D1,D7</t>
  </si>
  <si>
    <t>1N5819HW-7-F</t>
  </si>
  <si>
    <t>SOD123</t>
  </si>
  <si>
    <t>Diode</t>
  </si>
  <si>
    <r>
      <rPr>
        <sz val="10"/>
        <color theme="1"/>
        <rFont val="Times New Roman"/>
        <family val="1"/>
      </rPr>
      <t>Schottky Barrier Diodes,Vrms=40V,If=1.0A,Vf=0.45V,Ifsm=25A, H1.35, Tj-65</t>
    </r>
    <r>
      <rPr>
        <sz val="10"/>
        <color theme="1"/>
        <rFont val="宋体"/>
        <family val="3"/>
        <charset val="134"/>
      </rPr>
      <t>℃</t>
    </r>
    <r>
      <rPr>
        <sz val="10"/>
        <color theme="1"/>
        <rFont val="Times New Roman"/>
        <family val="1"/>
      </rPr>
      <t>~+125</t>
    </r>
    <r>
      <rPr>
        <sz val="10"/>
        <color theme="1"/>
        <rFont val="宋体"/>
        <family val="3"/>
        <charset val="134"/>
      </rPr>
      <t>℃</t>
    </r>
  </si>
  <si>
    <t>Diodes Incorporated</t>
  </si>
  <si>
    <t>D2,D3,D4,D8,D9,D10</t>
  </si>
  <si>
    <t>LESD5D5.0CT1G</t>
  </si>
  <si>
    <t>SOD523</t>
  </si>
  <si>
    <r>
      <rPr>
        <sz val="10"/>
        <color theme="1"/>
        <rFont val="Times New Roman"/>
        <family val="1"/>
      </rPr>
      <t>ESD,Bidirectional,Vrwm=5.0V,Vbr=7.8V,Cd=15pF, H0.7, -40</t>
    </r>
    <r>
      <rPr>
        <sz val="10"/>
        <color theme="1"/>
        <rFont val="宋体"/>
        <family val="3"/>
        <charset val="134"/>
      </rPr>
      <t>℃</t>
    </r>
    <r>
      <rPr>
        <sz val="10"/>
        <color theme="1"/>
        <rFont val="Times New Roman"/>
        <family val="1"/>
      </rPr>
      <t>~+125</t>
    </r>
    <r>
      <rPr>
        <sz val="10"/>
        <color theme="1"/>
        <rFont val="宋体"/>
        <family val="3"/>
        <charset val="134"/>
      </rPr>
      <t>℃</t>
    </r>
  </si>
  <si>
    <t>LRC</t>
  </si>
  <si>
    <t>D5</t>
  </si>
  <si>
    <t>RED LED</t>
  </si>
  <si>
    <t>LED0603</t>
  </si>
  <si>
    <r>
      <rPr>
        <sz val="10"/>
        <color theme="1"/>
        <rFont val="Times New Roman"/>
        <family val="1"/>
      </rPr>
      <t>Light-Emitting Diode:Red LED, IF=25mA, VR=5V, 65mW, H0.6, -30</t>
    </r>
    <r>
      <rPr>
        <sz val="10"/>
        <color theme="1"/>
        <rFont val="宋体"/>
        <family val="3"/>
        <charset val="134"/>
      </rPr>
      <t>℃</t>
    </r>
    <r>
      <rPr>
        <sz val="10"/>
        <color theme="1"/>
        <rFont val="Times New Roman"/>
        <family val="1"/>
      </rPr>
      <t>~85</t>
    </r>
    <r>
      <rPr>
        <sz val="10"/>
        <color theme="1"/>
        <rFont val="宋体"/>
        <family val="3"/>
        <charset val="134"/>
      </rPr>
      <t>℃</t>
    </r>
  </si>
  <si>
    <t>NationStar</t>
  </si>
  <si>
    <t>FC-DA1608HRK-620D</t>
  </si>
  <si>
    <r>
      <rPr>
        <sz val="10"/>
        <rFont val="Times New Roman"/>
        <family val="1"/>
      </rPr>
      <t>Light-Emitting Diode:Red LED, IF=20mA, VR=5V, 50mW, H0.6, -40</t>
    </r>
    <r>
      <rPr>
        <sz val="10"/>
        <rFont val="宋体"/>
        <family val="3"/>
        <charset val="134"/>
      </rPr>
      <t>℃</t>
    </r>
    <r>
      <rPr>
        <sz val="10"/>
        <rFont val="Times New Roman"/>
        <family val="1"/>
      </rPr>
      <t>~85</t>
    </r>
    <r>
      <rPr>
        <sz val="10"/>
        <rFont val="宋体"/>
        <family val="3"/>
        <charset val="134"/>
      </rPr>
      <t>℃</t>
    </r>
  </si>
  <si>
    <t>贝益达电子</t>
  </si>
  <si>
    <t>BD-PT0603R6C-C01-4T</t>
  </si>
  <si>
    <t>D6</t>
  </si>
  <si>
    <t>SK68XXMINI-HS</t>
  </si>
  <si>
    <t>LED3535B</t>
  </si>
  <si>
    <r>
      <rPr>
        <sz val="10"/>
        <color theme="1"/>
        <rFont val="Times New Roman"/>
        <family val="1"/>
      </rPr>
      <t>Light-Emitting Diode: 1-wire RGB: Intelligent Control LED Integrated Light Source, 3535, H1.9, -25</t>
    </r>
    <r>
      <rPr>
        <sz val="10"/>
        <color theme="1"/>
        <rFont val="宋体"/>
        <family val="3"/>
        <charset val="134"/>
      </rPr>
      <t>℃</t>
    </r>
    <r>
      <rPr>
        <sz val="10"/>
        <color theme="1"/>
        <rFont val="Times New Roman"/>
        <family val="1"/>
      </rPr>
      <t>~85</t>
    </r>
    <r>
      <rPr>
        <sz val="10"/>
        <color theme="1"/>
        <rFont val="宋体"/>
        <family val="3"/>
        <charset val="134"/>
      </rPr>
      <t>℃</t>
    </r>
  </si>
  <si>
    <t>Worldsemi</t>
  </si>
  <si>
    <t>WS2812B-Mini-V3</t>
  </si>
  <si>
    <t>J1,J3</t>
  </si>
  <si>
    <t>CON22X1</t>
  </si>
  <si>
    <t>CON22X1_2P54</t>
  </si>
  <si>
    <t>Connector</t>
  </si>
  <si>
    <r>
      <rPr>
        <sz val="10"/>
        <color theme="1"/>
        <rFont val="Times New Roman"/>
        <family val="1"/>
      </rPr>
      <t xml:space="preserve">Male Pin Header, </t>
    </r>
    <r>
      <rPr>
        <sz val="10"/>
        <color theme="1"/>
        <rFont val="宋体"/>
        <family val="3"/>
        <charset val="134"/>
      </rPr>
      <t>单排排针</t>
    </r>
    <r>
      <rPr>
        <sz val="10"/>
        <color theme="1"/>
        <rFont val="Times New Roman"/>
        <family val="1"/>
      </rPr>
      <t xml:space="preserve">, 22Pins, </t>
    </r>
    <r>
      <rPr>
        <sz val="10"/>
        <color theme="1"/>
        <rFont val="宋体"/>
        <family val="3"/>
        <charset val="134"/>
      </rPr>
      <t>间距</t>
    </r>
    <r>
      <rPr>
        <sz val="10"/>
        <color theme="1"/>
        <rFont val="Times New Roman"/>
        <family val="1"/>
      </rPr>
      <t xml:space="preserve"> 2.54mm, </t>
    </r>
    <r>
      <rPr>
        <sz val="10"/>
        <color theme="1"/>
        <rFont val="宋体"/>
        <family val="3"/>
        <charset val="134"/>
      </rPr>
      <t>镀金</t>
    </r>
    <r>
      <rPr>
        <sz val="10"/>
        <color theme="1"/>
        <rFont val="Times New Roman"/>
        <family val="1"/>
      </rPr>
      <t xml:space="preserve"> 1U</t>
    </r>
  </si>
  <si>
    <t>-</t>
  </si>
  <si>
    <t>J2,J4</t>
  </si>
  <si>
    <t>MICRO USB</t>
  </si>
  <si>
    <t>USB_5P_MICRO_F_ML</t>
  </si>
  <si>
    <r>
      <rPr>
        <sz val="10"/>
        <color theme="1"/>
        <rFont val="Times New Roman"/>
        <family val="1"/>
      </rPr>
      <t>Micro USB 5P,Female, 4-DipLeg, H3.0, -30</t>
    </r>
    <r>
      <rPr>
        <sz val="10"/>
        <color theme="1"/>
        <rFont val="宋体"/>
        <family val="3"/>
        <charset val="134"/>
      </rPr>
      <t>℃</t>
    </r>
    <r>
      <rPr>
        <sz val="10"/>
        <color theme="1"/>
        <rFont val="Times New Roman"/>
        <family val="1"/>
      </rPr>
      <t>~+85</t>
    </r>
    <r>
      <rPr>
        <sz val="10"/>
        <color theme="1"/>
        <rFont val="宋体"/>
        <family val="3"/>
        <charset val="134"/>
      </rPr>
      <t>℃</t>
    </r>
  </si>
  <si>
    <t>敏乐</t>
  </si>
  <si>
    <t>1110-205001</t>
  </si>
  <si>
    <r>
      <rPr>
        <sz val="10"/>
        <rFont val="Times New Roman"/>
        <family val="1"/>
      </rPr>
      <t xml:space="preserve">Micro USB 5P,Female, B Type, </t>
    </r>
    <r>
      <rPr>
        <sz val="10"/>
        <rFont val="宋体"/>
        <family val="3"/>
        <charset val="134"/>
      </rPr>
      <t>插板</t>
    </r>
    <r>
      <rPr>
        <sz val="10"/>
        <rFont val="Times New Roman"/>
        <family val="1"/>
      </rPr>
      <t>7.2</t>
    </r>
    <r>
      <rPr>
        <sz val="10"/>
        <rFont val="宋体"/>
        <family val="3"/>
        <charset val="134"/>
      </rPr>
      <t>有柱</t>
    </r>
    <r>
      <rPr>
        <sz val="10"/>
        <rFont val="Times New Roman"/>
        <family val="1"/>
      </rPr>
      <t xml:space="preserve">, </t>
    </r>
    <r>
      <rPr>
        <sz val="10"/>
        <rFont val="宋体"/>
        <family val="3"/>
        <charset val="134"/>
      </rPr>
      <t>脚长</t>
    </r>
    <r>
      <rPr>
        <sz val="10"/>
        <rFont val="Times New Roman"/>
        <family val="1"/>
      </rPr>
      <t xml:space="preserve">1.1, </t>
    </r>
    <r>
      <rPr>
        <sz val="10"/>
        <rFont val="宋体"/>
        <family val="3"/>
        <charset val="134"/>
      </rPr>
      <t>四脚全插</t>
    </r>
    <r>
      <rPr>
        <sz val="10"/>
        <rFont val="Times New Roman"/>
        <family val="1"/>
      </rPr>
      <t xml:space="preserve">, </t>
    </r>
    <r>
      <rPr>
        <sz val="10"/>
        <rFont val="宋体"/>
        <family val="3"/>
        <charset val="134"/>
      </rPr>
      <t>加长</t>
    </r>
    <r>
      <rPr>
        <sz val="10"/>
        <rFont val="Times New Roman"/>
        <family val="1"/>
      </rPr>
      <t>0.75</t>
    </r>
    <r>
      <rPr>
        <sz val="10"/>
        <rFont val="宋体"/>
        <family val="3"/>
        <charset val="134"/>
      </rPr>
      <t>（卷边）</t>
    </r>
    <r>
      <rPr>
        <sz val="10"/>
        <rFont val="Times New Roman"/>
        <family val="1"/>
      </rPr>
      <t xml:space="preserve">, H2.61, </t>
    </r>
    <r>
      <rPr>
        <sz val="10"/>
        <color rgb="FFFF0000"/>
        <rFont val="Times New Roman"/>
        <family val="1"/>
      </rPr>
      <t>-30</t>
    </r>
    <r>
      <rPr>
        <sz val="10"/>
        <color rgb="FFFF0000"/>
        <rFont val="宋体"/>
        <family val="3"/>
        <charset val="134"/>
      </rPr>
      <t>℃</t>
    </r>
    <r>
      <rPr>
        <sz val="10"/>
        <color rgb="FFFF0000"/>
        <rFont val="Times New Roman"/>
        <family val="1"/>
      </rPr>
      <t>~+80</t>
    </r>
    <r>
      <rPr>
        <sz val="10"/>
        <color rgb="FFFF0000"/>
        <rFont val="宋体"/>
        <family val="3"/>
        <charset val="134"/>
      </rPr>
      <t>℃</t>
    </r>
  </si>
  <si>
    <t>U-wilcome</t>
  </si>
  <si>
    <t>I42-0531-3121</t>
  </si>
  <si>
    <t>Q1,Q2</t>
  </si>
  <si>
    <t>L8050QLT1G</t>
  </si>
  <si>
    <t>SOT23-3</t>
  </si>
  <si>
    <t>Transistor</t>
  </si>
  <si>
    <r>
      <rPr>
        <sz val="10"/>
        <color theme="1"/>
        <rFont val="Times New Roman"/>
        <family val="1"/>
      </rPr>
      <t>NPN,Ic.max=0.8A,Vbe(sat)=0.5V@Ic=800mA&amp;Ib=80mA, H1.11, Tj-55</t>
    </r>
    <r>
      <rPr>
        <sz val="10"/>
        <color theme="1"/>
        <rFont val="宋体"/>
        <family val="3"/>
        <charset val="134"/>
      </rPr>
      <t>℃</t>
    </r>
    <r>
      <rPr>
        <sz val="10"/>
        <color theme="1"/>
        <rFont val="Times New Roman"/>
        <family val="1"/>
      </rPr>
      <t>~+150</t>
    </r>
    <r>
      <rPr>
        <sz val="10"/>
        <color theme="1"/>
        <rFont val="宋体"/>
        <family val="3"/>
        <charset val="134"/>
      </rPr>
      <t>℃</t>
    </r>
  </si>
  <si>
    <t>SW1,SW2</t>
  </si>
  <si>
    <t>NTC013-AT1J-A160T</t>
  </si>
  <si>
    <t>SW4-4P2X3P2X2P5-SMT</t>
  </si>
  <si>
    <t>Tact Switch</t>
  </si>
  <si>
    <r>
      <rPr>
        <sz val="10"/>
        <color theme="1"/>
        <rFont val="Times New Roman"/>
        <family val="1"/>
      </rPr>
      <t>Tact Switch: SMT, 4P, operation force 1.57N, Stem Black Color, 4.2x3.2x2.5, SMD, -40</t>
    </r>
    <r>
      <rPr>
        <sz val="10"/>
        <color theme="1"/>
        <rFont val="宋体"/>
        <family val="3"/>
        <charset val="134"/>
      </rPr>
      <t>℃</t>
    </r>
    <r>
      <rPr>
        <sz val="10"/>
        <color theme="1"/>
        <rFont val="Times New Roman"/>
        <family val="1"/>
      </rPr>
      <t>~85</t>
    </r>
    <r>
      <rPr>
        <sz val="10"/>
        <color theme="1"/>
        <rFont val="宋体"/>
        <family val="3"/>
        <charset val="134"/>
      </rPr>
      <t>℃</t>
    </r>
  </si>
  <si>
    <t>TAIWAN MISAKI</t>
  </si>
  <si>
    <t>U2</t>
  </si>
  <si>
    <t>SGM2212-3.3XKC3G/TR</t>
  </si>
  <si>
    <t>SOT223</t>
  </si>
  <si>
    <t>Power ICs</t>
  </si>
  <si>
    <t xml:space="preserve">LDO,Input.max=20V,Iout.max=800mA,Fixed-Output=3.3V,Vdrop=0.42V@Iout=0.8A,H1.8,-40~+125°C </t>
  </si>
  <si>
    <t>SG Micro</t>
  </si>
  <si>
    <t>U3</t>
  </si>
  <si>
    <t>CP2102N-A02-GQFN28</t>
  </si>
  <si>
    <t>QFN28_0P5_5</t>
  </si>
  <si>
    <t>Interface ICs</t>
  </si>
  <si>
    <t>USB-TO-UART,USB2.0 full speed,data rate up to 3Mbaud,H0.8, -40°C~+85°C</t>
  </si>
  <si>
    <t>SiliconLabs</t>
  </si>
  <si>
    <t>U4</t>
  </si>
  <si>
    <t>ESP32-S3-WROOM-1</t>
  </si>
  <si>
    <t>ESP32-S3-WROOM_NEW</t>
  </si>
  <si>
    <t>Module</t>
  </si>
  <si>
    <t>根据客供模组型号进行贴件</t>
  </si>
  <si>
    <t>Espressif Systems</t>
  </si>
  <si>
    <t>ESP32-S3-WROOM-1/ESP32-S3-WROOM-2</t>
  </si>
  <si>
    <t>PCB</t>
  </si>
  <si>
    <r>
      <rPr>
        <sz val="10"/>
        <color theme="1"/>
        <rFont val="Times New Roman"/>
        <family val="1"/>
      </rPr>
      <t xml:space="preserve">ESP32-S3-DevKitC-1_V1.1_20220429, 2L, 62.74*25.4*1.6mm, </t>
    </r>
    <r>
      <rPr>
        <sz val="10"/>
        <color theme="1"/>
        <rFont val="宋体"/>
        <family val="3"/>
        <charset val="134"/>
      </rPr>
      <t>哑光黑色阻焊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白色字符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化学沉金</t>
    </r>
    <r>
      <rPr>
        <sz val="10"/>
        <color theme="1"/>
        <rFont val="Times New Roman"/>
        <family val="1"/>
      </rPr>
      <t xml:space="preserve">,USB </t>
    </r>
    <r>
      <rPr>
        <sz val="10"/>
        <color theme="1"/>
        <rFont val="宋体"/>
        <family val="3"/>
        <charset val="134"/>
      </rPr>
      <t>走线</t>
    </r>
    <r>
      <rPr>
        <sz val="10"/>
        <color theme="1"/>
        <rFont val="Times New Roman"/>
        <family val="1"/>
      </rPr>
      <t xml:space="preserve"> 90R </t>
    </r>
    <r>
      <rPr>
        <sz val="10"/>
        <color theme="1"/>
        <rFont val="宋体"/>
        <family val="3"/>
        <charset val="134"/>
      </rPr>
      <t>阻抗管控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</si>
</sst>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宋体"/>
      <charset val="134"/>
      <scheme val="minor"/>
    </font>
    <font>
      <sz val="10"/>
      <color theme="1"/>
      <name val="Times New Roman"/>
      <family val="1"/>
    </font>
    <font>
      <sz val="10"/>
      <color theme="1"/>
      <name val="宋体"/>
      <family val="3"/>
      <charset val="134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rgb="FFFF0000"/>
      <name val="Times New Roman"/>
      <family val="1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1" fontId="4" fillId="2" borderId="4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left" vertical="center"/>
    </xf>
    <xf numFmtId="1" fontId="4" fillId="2" borderId="1" xfId="0" applyNumberFormat="1" applyFont="1" applyFill="1" applyBorder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0" fontId="5" fillId="3" borderId="1" xfId="0" applyFont="1" applyFill="1" applyBorder="1">
      <alignment vertical="center"/>
    </xf>
    <xf numFmtId="0" fontId="1" fillId="0" borderId="1" xfId="0" applyFont="1" applyBorder="1">
      <alignment vertical="center"/>
    </xf>
    <xf numFmtId="49" fontId="1" fillId="0" borderId="1" xfId="0" applyNumberFormat="1" applyFont="1" applyBorder="1">
      <alignment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8" fillId="3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>
      <alignment vertical="center"/>
    </xf>
    <xf numFmtId="49" fontId="1" fillId="0" borderId="6" xfId="0" applyNumberFormat="1" applyFont="1" applyBorder="1">
      <alignment vertical="center"/>
    </xf>
    <xf numFmtId="1" fontId="4" fillId="2" borderId="8" xfId="0" applyNumberFormat="1" applyFont="1" applyFill="1" applyBorder="1">
      <alignment vertical="center"/>
    </xf>
    <xf numFmtId="0" fontId="1" fillId="0" borderId="8" xfId="0" applyFont="1" applyBorder="1">
      <alignment vertical="center"/>
    </xf>
    <xf numFmtId="0" fontId="5" fillId="3" borderId="8" xfId="0" applyFont="1" applyFill="1" applyBorder="1">
      <alignment vertical="center"/>
    </xf>
    <xf numFmtId="49" fontId="1" fillId="0" borderId="8" xfId="0" applyNumberFormat="1" applyFont="1" applyBorder="1">
      <alignment vertical="center"/>
    </xf>
    <xf numFmtId="0" fontId="5" fillId="0" borderId="8" xfId="0" applyFont="1" applyBorder="1">
      <alignment vertical="center"/>
    </xf>
    <xf numFmtId="0" fontId="6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49" fontId="3" fillId="2" borderId="3" xfId="0" applyNumberFormat="1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zoomScale="85" zoomScaleNormal="85" workbookViewId="0">
      <selection activeCell="G13" sqref="G13"/>
    </sheetView>
  </sheetViews>
  <sheetFormatPr baseColWidth="10" defaultColWidth="9" defaultRowHeight="14"/>
  <cols>
    <col min="1" max="2" width="10.83203125" style="3" customWidth="1"/>
    <col min="3" max="3" width="43.83203125" customWidth="1"/>
    <col min="4" max="4" width="24.33203125" customWidth="1"/>
    <col min="5" max="5" width="27" customWidth="1"/>
    <col min="6" max="6" width="15.83203125" customWidth="1"/>
    <col min="7" max="7" width="96.1640625" customWidth="1"/>
    <col min="8" max="8" width="25.83203125" customWidth="1"/>
    <col min="9" max="9" width="35.83203125" customWidth="1"/>
  </cols>
  <sheetData>
    <row r="1" spans="1:9" s="1" customFormat="1" ht="13">
      <c r="A1" s="33" t="s">
        <v>0</v>
      </c>
      <c r="B1" s="34"/>
      <c r="C1" s="35"/>
      <c r="D1" s="36"/>
      <c r="E1" s="35"/>
      <c r="F1" s="37"/>
      <c r="G1" s="37"/>
      <c r="H1" s="34"/>
      <c r="I1" s="38"/>
    </row>
    <row r="2" spans="1:9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7" t="s">
        <v>8</v>
      </c>
      <c r="I2" s="26" t="s">
        <v>9</v>
      </c>
    </row>
    <row r="3" spans="1:9">
      <c r="A3" s="39">
        <v>1</v>
      </c>
      <c r="B3" s="40">
        <v>3</v>
      </c>
      <c r="C3" s="41" t="s">
        <v>10</v>
      </c>
      <c r="D3" s="42" t="s">
        <v>11</v>
      </c>
      <c r="E3" s="42" t="s">
        <v>12</v>
      </c>
      <c r="F3" s="11" t="s">
        <v>13</v>
      </c>
      <c r="G3" s="11" t="s">
        <v>14</v>
      </c>
      <c r="H3" s="12" t="s">
        <v>15</v>
      </c>
      <c r="I3" s="27" t="s">
        <v>16</v>
      </c>
    </row>
    <row r="4" spans="1:9">
      <c r="A4" s="39"/>
      <c r="B4" s="40"/>
      <c r="C4" s="41"/>
      <c r="D4" s="42"/>
      <c r="E4" s="42"/>
      <c r="F4" s="11" t="s">
        <v>13</v>
      </c>
      <c r="G4" s="11" t="s">
        <v>14</v>
      </c>
      <c r="H4" s="12" t="s">
        <v>17</v>
      </c>
      <c r="I4" s="27" t="s">
        <v>18</v>
      </c>
    </row>
    <row r="5" spans="1:9">
      <c r="A5" s="39"/>
      <c r="B5" s="40"/>
      <c r="C5" s="41"/>
      <c r="D5" s="42"/>
      <c r="E5" s="42"/>
      <c r="F5" s="11" t="s">
        <v>13</v>
      </c>
      <c r="G5" s="11" t="s">
        <v>19</v>
      </c>
      <c r="H5" s="11" t="s">
        <v>20</v>
      </c>
      <c r="I5" s="28" t="s">
        <v>21</v>
      </c>
    </row>
    <row r="6" spans="1:9">
      <c r="A6" s="8">
        <v>2</v>
      </c>
      <c r="B6" s="9">
        <v>2</v>
      </c>
      <c r="C6" s="2" t="s">
        <v>22</v>
      </c>
      <c r="D6" s="2" t="s">
        <v>23</v>
      </c>
      <c r="E6" s="10" t="s">
        <v>12</v>
      </c>
      <c r="F6" s="13" t="s">
        <v>13</v>
      </c>
      <c r="G6" s="13" t="s">
        <v>24</v>
      </c>
      <c r="H6" s="13" t="s">
        <v>20</v>
      </c>
      <c r="I6" s="29" t="s">
        <v>25</v>
      </c>
    </row>
    <row r="7" spans="1:9">
      <c r="A7" s="8">
        <v>3</v>
      </c>
      <c r="B7" s="9">
        <v>5</v>
      </c>
      <c r="C7" s="2" t="s">
        <v>26</v>
      </c>
      <c r="D7" s="2" t="s">
        <v>27</v>
      </c>
      <c r="E7" s="10" t="s">
        <v>28</v>
      </c>
      <c r="F7" s="13" t="s">
        <v>13</v>
      </c>
      <c r="G7" s="13" t="s">
        <v>29</v>
      </c>
      <c r="H7" s="13" t="s">
        <v>20</v>
      </c>
      <c r="I7" s="29" t="s">
        <v>30</v>
      </c>
    </row>
    <row r="8" spans="1:9">
      <c r="A8" s="39">
        <v>4</v>
      </c>
      <c r="B8" s="40">
        <v>5</v>
      </c>
      <c r="C8" s="41" t="s">
        <v>31</v>
      </c>
      <c r="D8" s="42" t="s">
        <v>32</v>
      </c>
      <c r="E8" s="42" t="s">
        <v>33</v>
      </c>
      <c r="F8" s="13" t="s">
        <v>34</v>
      </c>
      <c r="G8" s="13" t="s">
        <v>35</v>
      </c>
      <c r="H8" s="13" t="s">
        <v>36</v>
      </c>
      <c r="I8" s="29" t="s">
        <v>37</v>
      </c>
    </row>
    <row r="9" spans="1:9">
      <c r="A9" s="39"/>
      <c r="B9" s="40"/>
      <c r="C9" s="41"/>
      <c r="D9" s="42"/>
      <c r="E9" s="42"/>
      <c r="F9" s="14" t="s">
        <v>34</v>
      </c>
      <c r="G9" s="11" t="s">
        <v>38</v>
      </c>
      <c r="H9" s="11" t="s">
        <v>39</v>
      </c>
      <c r="I9" s="28" t="s">
        <v>40</v>
      </c>
    </row>
    <row r="10" spans="1:9">
      <c r="A10" s="39">
        <v>5</v>
      </c>
      <c r="B10" s="40">
        <v>1</v>
      </c>
      <c r="C10" s="41" t="s">
        <v>41</v>
      </c>
      <c r="D10" s="41" t="s">
        <v>32</v>
      </c>
      <c r="E10" s="41" t="s">
        <v>42</v>
      </c>
      <c r="F10" s="15" t="s">
        <v>34</v>
      </c>
      <c r="G10" s="11" t="str">
        <f>"Thick Film Resistors, SMD, "&amp;B10&amp;", 1/10w, H0.45, -55℃~155℃"</f>
        <v>Thick Film Resistors, SMD, 1, 1/10w, H0.45, -55℃~155℃</v>
      </c>
      <c r="H10" s="11" t="s">
        <v>36</v>
      </c>
      <c r="I10" s="28" t="s">
        <v>43</v>
      </c>
    </row>
    <row r="11" spans="1:9">
      <c r="A11" s="39"/>
      <c r="B11" s="40"/>
      <c r="C11" s="41"/>
      <c r="D11" s="41"/>
      <c r="E11" s="41"/>
      <c r="F11" s="15" t="s">
        <v>34</v>
      </c>
      <c r="G11" s="11" t="str">
        <f>"Thick Film Resistors, SMD, "&amp;B11&amp;", 1/10w, H0.45, -55℃~155℃"</f>
        <v>Thick Film Resistors, SMD, , 1/10w, H0.45, -55℃~155℃</v>
      </c>
      <c r="H11" s="11" t="s">
        <v>39</v>
      </c>
      <c r="I11" s="28" t="s">
        <v>44</v>
      </c>
    </row>
    <row r="12" spans="1:9">
      <c r="A12" s="39">
        <v>6</v>
      </c>
      <c r="B12" s="40">
        <v>1</v>
      </c>
      <c r="C12" s="41" t="s">
        <v>45</v>
      </c>
      <c r="D12" s="42" t="s">
        <v>46</v>
      </c>
      <c r="E12" s="42" t="s">
        <v>33</v>
      </c>
      <c r="F12" s="13" t="s">
        <v>34</v>
      </c>
      <c r="G12" s="13" t="s">
        <v>47</v>
      </c>
      <c r="H12" s="13" t="s">
        <v>36</v>
      </c>
      <c r="I12" s="29" t="s">
        <v>48</v>
      </c>
    </row>
    <row r="13" spans="1:9">
      <c r="A13" s="39"/>
      <c r="B13" s="40"/>
      <c r="C13" s="41"/>
      <c r="D13" s="42"/>
      <c r="E13" s="42"/>
      <c r="F13" s="14" t="s">
        <v>34</v>
      </c>
      <c r="G13" s="11" t="s">
        <v>49</v>
      </c>
      <c r="H13" s="11" t="s">
        <v>39</v>
      </c>
      <c r="I13" s="28" t="s">
        <v>50</v>
      </c>
    </row>
    <row r="14" spans="1:9">
      <c r="A14" s="39">
        <v>7</v>
      </c>
      <c r="B14" s="40">
        <v>1</v>
      </c>
      <c r="C14" s="41" t="s">
        <v>51</v>
      </c>
      <c r="D14" s="42" t="s">
        <v>52</v>
      </c>
      <c r="E14" s="42" t="s">
        <v>33</v>
      </c>
      <c r="F14" s="13" t="s">
        <v>34</v>
      </c>
      <c r="G14" s="13" t="s">
        <v>53</v>
      </c>
      <c r="H14" s="13" t="s">
        <v>36</v>
      </c>
      <c r="I14" s="29" t="s">
        <v>54</v>
      </c>
    </row>
    <row r="15" spans="1:9">
      <c r="A15" s="39"/>
      <c r="B15" s="40"/>
      <c r="C15" s="41"/>
      <c r="D15" s="42"/>
      <c r="E15" s="42"/>
      <c r="F15" s="14" t="s">
        <v>34</v>
      </c>
      <c r="G15" s="11" t="s">
        <v>55</v>
      </c>
      <c r="H15" s="11" t="s">
        <v>39</v>
      </c>
      <c r="I15" s="28" t="s">
        <v>56</v>
      </c>
    </row>
    <row r="16" spans="1:9">
      <c r="A16" s="39">
        <v>8</v>
      </c>
      <c r="B16" s="40">
        <v>3</v>
      </c>
      <c r="C16" s="41" t="s">
        <v>57</v>
      </c>
      <c r="D16" s="42" t="s">
        <v>58</v>
      </c>
      <c r="E16" s="42" t="s">
        <v>33</v>
      </c>
      <c r="F16" s="13" t="s">
        <v>34</v>
      </c>
      <c r="G16" s="13" t="s">
        <v>59</v>
      </c>
      <c r="H16" s="13" t="s">
        <v>36</v>
      </c>
      <c r="I16" s="29" t="s">
        <v>60</v>
      </c>
    </row>
    <row r="17" spans="1:9">
      <c r="A17" s="39"/>
      <c r="B17" s="40">
        <v>3</v>
      </c>
      <c r="C17" s="41" t="s">
        <v>57</v>
      </c>
      <c r="D17" s="42"/>
      <c r="E17" s="42"/>
      <c r="F17" s="14" t="s">
        <v>34</v>
      </c>
      <c r="G17" s="11" t="s">
        <v>61</v>
      </c>
      <c r="H17" s="11" t="s">
        <v>39</v>
      </c>
      <c r="I17" s="28" t="s">
        <v>62</v>
      </c>
    </row>
    <row r="18" spans="1:9">
      <c r="A18" s="39">
        <v>9</v>
      </c>
      <c r="B18" s="40">
        <v>1</v>
      </c>
      <c r="C18" s="41" t="s">
        <v>63</v>
      </c>
      <c r="D18" s="42" t="s">
        <v>64</v>
      </c>
      <c r="E18" s="42" t="s">
        <v>33</v>
      </c>
      <c r="F18" s="13" t="s">
        <v>34</v>
      </c>
      <c r="G18" s="13" t="s">
        <v>65</v>
      </c>
      <c r="H18" s="13" t="s">
        <v>36</v>
      </c>
      <c r="I18" s="29" t="s">
        <v>66</v>
      </c>
    </row>
    <row r="19" spans="1:9">
      <c r="A19" s="39"/>
      <c r="B19" s="40"/>
      <c r="C19" s="41"/>
      <c r="D19" s="42"/>
      <c r="E19" s="42"/>
      <c r="F19" s="13" t="s">
        <v>34</v>
      </c>
      <c r="G19" s="13" t="s">
        <v>65</v>
      </c>
      <c r="H19" s="13" t="s">
        <v>39</v>
      </c>
      <c r="I19" s="29" t="s">
        <v>67</v>
      </c>
    </row>
    <row r="20" spans="1:9">
      <c r="A20" s="39">
        <v>10</v>
      </c>
      <c r="B20" s="40">
        <v>1</v>
      </c>
      <c r="C20" s="41" t="s">
        <v>68</v>
      </c>
      <c r="D20" s="42" t="s">
        <v>69</v>
      </c>
      <c r="E20" s="42" t="s">
        <v>33</v>
      </c>
      <c r="F20" s="13" t="s">
        <v>34</v>
      </c>
      <c r="G20" s="13" t="s">
        <v>70</v>
      </c>
      <c r="H20" s="13" t="s">
        <v>36</v>
      </c>
      <c r="I20" s="29" t="s">
        <v>71</v>
      </c>
    </row>
    <row r="21" spans="1:9">
      <c r="A21" s="39"/>
      <c r="B21" s="40"/>
      <c r="C21" s="41"/>
      <c r="D21" s="42"/>
      <c r="E21" s="42"/>
      <c r="F21" s="13" t="s">
        <v>34</v>
      </c>
      <c r="G21" s="13" t="s">
        <v>70</v>
      </c>
      <c r="H21" s="13" t="s">
        <v>36</v>
      </c>
      <c r="I21" s="29" t="s">
        <v>71</v>
      </c>
    </row>
    <row r="22" spans="1:9">
      <c r="A22" s="8">
        <v>11</v>
      </c>
      <c r="B22" s="9">
        <v>2</v>
      </c>
      <c r="C22" s="2" t="s">
        <v>72</v>
      </c>
      <c r="D22" s="2" t="s">
        <v>73</v>
      </c>
      <c r="E22" s="10" t="s">
        <v>74</v>
      </c>
      <c r="F22" s="13" t="s">
        <v>75</v>
      </c>
      <c r="G22" s="13" t="s">
        <v>76</v>
      </c>
      <c r="H22" s="13" t="s">
        <v>77</v>
      </c>
      <c r="I22" s="29" t="s">
        <v>73</v>
      </c>
    </row>
    <row r="23" spans="1:9">
      <c r="A23" s="8">
        <v>12</v>
      </c>
      <c r="B23" s="9">
        <v>6</v>
      </c>
      <c r="C23" s="2" t="s">
        <v>78</v>
      </c>
      <c r="D23" s="2" t="s">
        <v>79</v>
      </c>
      <c r="E23" s="10" t="s">
        <v>80</v>
      </c>
      <c r="F23" s="13" t="s">
        <v>75</v>
      </c>
      <c r="G23" s="13" t="s">
        <v>81</v>
      </c>
      <c r="H23" s="13" t="s">
        <v>82</v>
      </c>
      <c r="I23" s="29" t="s">
        <v>79</v>
      </c>
    </row>
    <row r="24" spans="1:9">
      <c r="A24" s="39">
        <v>13</v>
      </c>
      <c r="B24" s="40">
        <v>1</v>
      </c>
      <c r="C24" s="41" t="s">
        <v>83</v>
      </c>
      <c r="D24" s="41" t="s">
        <v>84</v>
      </c>
      <c r="E24" s="41" t="s">
        <v>85</v>
      </c>
      <c r="F24" s="13" t="s">
        <v>75</v>
      </c>
      <c r="G24" s="13" t="s">
        <v>86</v>
      </c>
      <c r="H24" s="13" t="s">
        <v>87</v>
      </c>
      <c r="I24" s="29" t="s">
        <v>88</v>
      </c>
    </row>
    <row r="25" spans="1:9">
      <c r="A25" s="39"/>
      <c r="B25" s="40"/>
      <c r="C25" s="41"/>
      <c r="D25" s="41"/>
      <c r="E25" s="41"/>
      <c r="F25" s="16" t="s">
        <v>75</v>
      </c>
      <c r="G25" s="17" t="s">
        <v>89</v>
      </c>
      <c r="H25" s="18" t="s">
        <v>90</v>
      </c>
      <c r="I25" s="30" t="s">
        <v>91</v>
      </c>
    </row>
    <row r="26" spans="1:9">
      <c r="A26" s="8">
        <v>14</v>
      </c>
      <c r="B26" s="9">
        <v>1</v>
      </c>
      <c r="C26" s="2" t="s">
        <v>92</v>
      </c>
      <c r="D26" s="2" t="s">
        <v>93</v>
      </c>
      <c r="E26" s="10" t="s">
        <v>94</v>
      </c>
      <c r="F26" s="13" t="s">
        <v>75</v>
      </c>
      <c r="G26" s="13" t="s">
        <v>95</v>
      </c>
      <c r="H26" s="13" t="s">
        <v>96</v>
      </c>
      <c r="I26" s="29" t="s">
        <v>97</v>
      </c>
    </row>
    <row r="27" spans="1:9">
      <c r="A27" s="8">
        <v>15</v>
      </c>
      <c r="B27" s="9">
        <v>2</v>
      </c>
      <c r="C27" s="2" t="s">
        <v>98</v>
      </c>
      <c r="D27" s="2" t="s">
        <v>99</v>
      </c>
      <c r="E27" s="2" t="s">
        <v>100</v>
      </c>
      <c r="F27" s="13" t="s">
        <v>101</v>
      </c>
      <c r="G27" s="13" t="s">
        <v>102</v>
      </c>
      <c r="H27" s="13" t="s">
        <v>103</v>
      </c>
      <c r="I27" s="29" t="s">
        <v>103</v>
      </c>
    </row>
    <row r="28" spans="1:9">
      <c r="A28" s="39">
        <v>16</v>
      </c>
      <c r="B28" s="40">
        <v>2</v>
      </c>
      <c r="C28" s="41" t="s">
        <v>104</v>
      </c>
      <c r="D28" s="41" t="s">
        <v>105</v>
      </c>
      <c r="E28" s="41" t="s">
        <v>106</v>
      </c>
      <c r="F28" s="13" t="s">
        <v>101</v>
      </c>
      <c r="G28" s="13" t="s">
        <v>107</v>
      </c>
      <c r="H28" s="19" t="s">
        <v>108</v>
      </c>
      <c r="I28" s="28" t="s">
        <v>109</v>
      </c>
    </row>
    <row r="29" spans="1:9">
      <c r="A29" s="39"/>
      <c r="B29" s="40"/>
      <c r="C29" s="41"/>
      <c r="D29" s="41"/>
      <c r="E29" s="41"/>
      <c r="F29" s="11" t="s">
        <v>101</v>
      </c>
      <c r="G29" s="11" t="s">
        <v>110</v>
      </c>
      <c r="H29" s="13" t="s">
        <v>111</v>
      </c>
      <c r="I29" s="29" t="s">
        <v>112</v>
      </c>
    </row>
    <row r="30" spans="1:9">
      <c r="A30" s="8">
        <v>17</v>
      </c>
      <c r="B30" s="9">
        <v>2</v>
      </c>
      <c r="C30" s="2" t="s">
        <v>113</v>
      </c>
      <c r="D30" s="2" t="s">
        <v>114</v>
      </c>
      <c r="E30" s="10" t="s">
        <v>115</v>
      </c>
      <c r="F30" s="13" t="s">
        <v>116</v>
      </c>
      <c r="G30" s="13" t="s">
        <v>117</v>
      </c>
      <c r="H30" s="13" t="s">
        <v>82</v>
      </c>
      <c r="I30" s="29" t="s">
        <v>114</v>
      </c>
    </row>
    <row r="31" spans="1:9">
      <c r="A31" s="8">
        <v>18</v>
      </c>
      <c r="B31" s="9">
        <v>2</v>
      </c>
      <c r="C31" s="2" t="s">
        <v>118</v>
      </c>
      <c r="D31" s="2" t="s">
        <v>119</v>
      </c>
      <c r="E31" s="10" t="s">
        <v>120</v>
      </c>
      <c r="F31" s="13" t="s">
        <v>121</v>
      </c>
      <c r="G31" s="13" t="s">
        <v>122</v>
      </c>
      <c r="H31" s="13" t="s">
        <v>123</v>
      </c>
      <c r="I31" s="29" t="s">
        <v>119</v>
      </c>
    </row>
    <row r="32" spans="1:9">
      <c r="A32" s="8">
        <v>19</v>
      </c>
      <c r="B32" s="9">
        <v>1</v>
      </c>
      <c r="C32" s="2" t="s">
        <v>124</v>
      </c>
      <c r="D32" s="2" t="s">
        <v>125</v>
      </c>
      <c r="E32" s="2" t="s">
        <v>126</v>
      </c>
      <c r="F32" s="11" t="s">
        <v>127</v>
      </c>
      <c r="G32" s="20" t="s">
        <v>128</v>
      </c>
      <c r="H32" s="20" t="s">
        <v>129</v>
      </c>
      <c r="I32" s="31" t="s">
        <v>125</v>
      </c>
    </row>
    <row r="33" spans="1:9">
      <c r="A33" s="8">
        <v>20</v>
      </c>
      <c r="B33" s="9">
        <v>1</v>
      </c>
      <c r="C33" s="2" t="s">
        <v>130</v>
      </c>
      <c r="D33" s="2" t="s">
        <v>131</v>
      </c>
      <c r="E33" s="10" t="s">
        <v>132</v>
      </c>
      <c r="F33" s="13" t="s">
        <v>133</v>
      </c>
      <c r="G33" s="13" t="s">
        <v>134</v>
      </c>
      <c r="H33" s="13" t="s">
        <v>135</v>
      </c>
      <c r="I33" s="29" t="s">
        <v>131</v>
      </c>
    </row>
    <row r="34" spans="1:9">
      <c r="A34" s="8">
        <v>21</v>
      </c>
      <c r="B34" s="9">
        <v>1</v>
      </c>
      <c r="C34" s="12" t="s">
        <v>136</v>
      </c>
      <c r="D34" s="12" t="s">
        <v>137</v>
      </c>
      <c r="E34" s="12" t="s">
        <v>138</v>
      </c>
      <c r="F34" s="12" t="s">
        <v>139</v>
      </c>
      <c r="G34" s="21" t="s">
        <v>140</v>
      </c>
      <c r="H34" s="12" t="s">
        <v>141</v>
      </c>
      <c r="I34" s="27" t="s">
        <v>142</v>
      </c>
    </row>
    <row r="35" spans="1:9">
      <c r="A35" s="22">
        <v>22</v>
      </c>
      <c r="B35" s="23">
        <v>1</v>
      </c>
      <c r="C35" s="24" t="s">
        <v>143</v>
      </c>
      <c r="D35" s="24" t="s">
        <v>103</v>
      </c>
      <c r="E35" s="24" t="s">
        <v>103</v>
      </c>
      <c r="F35" s="24" t="s">
        <v>103</v>
      </c>
      <c r="G35" s="25" t="s">
        <v>144</v>
      </c>
      <c r="H35" s="24" t="s">
        <v>103</v>
      </c>
      <c r="I35" s="32" t="s">
        <v>103</v>
      </c>
    </row>
  </sheetData>
  <mergeCells count="51">
    <mergeCell ref="E28:E29"/>
    <mergeCell ref="E14:E15"/>
    <mergeCell ref="E16:E17"/>
    <mergeCell ref="E18:E19"/>
    <mergeCell ref="E20:E21"/>
    <mergeCell ref="E24:E25"/>
    <mergeCell ref="C28:C29"/>
    <mergeCell ref="D3:D5"/>
    <mergeCell ref="D8:D9"/>
    <mergeCell ref="D10:D11"/>
    <mergeCell ref="D12:D13"/>
    <mergeCell ref="D14:D15"/>
    <mergeCell ref="D16:D17"/>
    <mergeCell ref="D18:D19"/>
    <mergeCell ref="D20:D21"/>
    <mergeCell ref="D24:D25"/>
    <mergeCell ref="D28:D29"/>
    <mergeCell ref="C14:C15"/>
    <mergeCell ref="C16:C17"/>
    <mergeCell ref="C18:C19"/>
    <mergeCell ref="C20:C21"/>
    <mergeCell ref="C24:C25"/>
    <mergeCell ref="A28:A29"/>
    <mergeCell ref="B3:B5"/>
    <mergeCell ref="B8:B9"/>
    <mergeCell ref="B10:B11"/>
    <mergeCell ref="B12:B13"/>
    <mergeCell ref="B14:B15"/>
    <mergeCell ref="B16:B17"/>
    <mergeCell ref="B18:B19"/>
    <mergeCell ref="B20:B21"/>
    <mergeCell ref="B24:B25"/>
    <mergeCell ref="B28:B29"/>
    <mergeCell ref="A14:A15"/>
    <mergeCell ref="A16:A17"/>
    <mergeCell ref="A18:A19"/>
    <mergeCell ref="A20:A21"/>
    <mergeCell ref="A24:A25"/>
    <mergeCell ref="A1:I1"/>
    <mergeCell ref="A3:A5"/>
    <mergeCell ref="A8:A9"/>
    <mergeCell ref="A10:A11"/>
    <mergeCell ref="A12:A13"/>
    <mergeCell ref="C3:C5"/>
    <mergeCell ref="C8:C9"/>
    <mergeCell ref="C10:C11"/>
    <mergeCell ref="C12:C13"/>
    <mergeCell ref="E3:E5"/>
    <mergeCell ref="E8:E9"/>
    <mergeCell ref="E10:E11"/>
    <mergeCell ref="E12:E13"/>
  </mergeCells>
  <phoneticPr fontId="1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ESP32-S3-DevKitC-1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 Dong</cp:lastModifiedBy>
  <dcterms:created xsi:type="dcterms:W3CDTF">2021-03-10T08:51:00Z</dcterms:created>
  <dcterms:modified xsi:type="dcterms:W3CDTF">2026-05-26T09:59:49Z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KSOReadingLayout">
    <vt:bool>true</vt:bool>
  </property>
  <property fmtid="{D5CDD505-2E9C-101B-9397-08002B2CF9AE}" pid="4" name="ICV">
    <vt:lpwstr>6B8E34A1DB4B4DB8A5ABE649B55D5702</vt:lpwstr>
  </property>
</Properties>
</file>