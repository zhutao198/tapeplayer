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<sst xmlns="http://schemas.openxmlformats.org/spreadsheetml/2006/main" count="181" uniqueCount="145">
  <si>
    <t>BOM-PAudio_player-V1</t>
  </si>
  <si>
    <t>名称</t>
  </si>
  <si>
    <t>编号</t>
  </si>
  <si>
    <t>规格</t>
  </si>
  <si>
    <t>封装</t>
  </si>
  <si>
    <t>数量</t>
  </si>
  <si>
    <t>单价</t>
  </si>
  <si>
    <t>总计</t>
  </si>
  <si>
    <t>备注</t>
  </si>
  <si>
    <r>
      <rPr>
        <sz val="11"/>
        <color indexed="8"/>
        <rFont val="宋体"/>
        <charset val="134"/>
      </rPr>
      <t>P</t>
    </r>
    <r>
      <rPr>
        <sz val="11"/>
        <color indexed="8"/>
        <rFont val="宋体"/>
        <charset val="134"/>
      </rPr>
      <t>CB</t>
    </r>
  </si>
  <si>
    <t>PCB</t>
  </si>
  <si>
    <t>SMT</t>
  </si>
  <si>
    <t>外壳</t>
  </si>
  <si>
    <t>包材</t>
  </si>
  <si>
    <t>显示屏</t>
  </si>
  <si>
    <t>喇叭</t>
  </si>
  <si>
    <t>电池</t>
  </si>
  <si>
    <t>贴片电容</t>
  </si>
  <si>
    <t>C1,C3,C4,C5,C6,C9,C11,C12,C21,C22,C26,C27,C28,C29,C30,C31,C33,C34,C38,C39,C40,C42,C44,C47,C48,C49</t>
  </si>
  <si>
    <t>0.1uF,25V,X7R</t>
  </si>
  <si>
    <r>
      <rPr>
        <sz val="11"/>
        <color indexed="8"/>
        <rFont val="宋体"/>
        <charset val="134"/>
      </rPr>
      <t>0</t>
    </r>
    <r>
      <rPr>
        <sz val="11"/>
        <color indexed="8"/>
        <rFont val="宋体"/>
        <charset val="134"/>
      </rPr>
      <t>402</t>
    </r>
  </si>
  <si>
    <t>C2,C7,C8,C10,C14,C15,C16,C17,C20,C23,C24,C32,C41,C43,C45,C46</t>
  </si>
  <si>
    <t>10uF,16V,X7R</t>
  </si>
  <si>
    <r>
      <rPr>
        <sz val="11"/>
        <color indexed="8"/>
        <rFont val="宋体"/>
        <charset val="134"/>
      </rPr>
      <t>0</t>
    </r>
    <r>
      <rPr>
        <sz val="11"/>
        <color indexed="8"/>
        <rFont val="宋体"/>
        <charset val="134"/>
      </rPr>
      <t>603</t>
    </r>
  </si>
  <si>
    <t>C18,C19</t>
  </si>
  <si>
    <t>22uF,10V,X7R</t>
  </si>
  <si>
    <t>0603</t>
  </si>
  <si>
    <t>贴片电解电容</t>
  </si>
  <si>
    <t>C25</t>
  </si>
  <si>
    <t>470uF,10V，C335982</t>
  </si>
  <si>
    <t>D6.3xL7.7</t>
  </si>
  <si>
    <t>贴片电阻</t>
  </si>
  <si>
    <t>R10,R11,R12,R27,R32,R33,R36,R38,R39,R40,R41,R42,R43,R48,R49,R52,R53</t>
  </si>
  <si>
    <r>
      <rPr>
        <sz val="11"/>
        <color indexed="8"/>
        <rFont val="宋体"/>
        <charset val="134"/>
      </rPr>
      <t>1K,</t>
    </r>
    <r>
      <rPr>
        <sz val="11"/>
        <color indexed="8"/>
        <rFont val="宋体"/>
        <charset val="134"/>
      </rPr>
      <t>1</t>
    </r>
    <r>
      <rPr>
        <sz val="11"/>
        <color indexed="8"/>
        <rFont val="宋体"/>
        <charset val="134"/>
      </rPr>
      <t>%,</t>
    </r>
  </si>
  <si>
    <t>R9</t>
  </si>
  <si>
    <t>2K,1%,</t>
  </si>
  <si>
    <t>R19</t>
  </si>
  <si>
    <t>634K,1%</t>
  </si>
  <si>
    <t>0402</t>
  </si>
  <si>
    <t>R56</t>
  </si>
  <si>
    <t>560K,1%</t>
  </si>
  <si>
    <t>R13,R55</t>
  </si>
  <si>
    <t>470K,1%</t>
  </si>
  <si>
    <t>R7,R8,R50</t>
  </si>
  <si>
    <t>5.1K,1%</t>
  </si>
  <si>
    <t>R1,R3,R4,R5,R6,R14,R22,R23,R24,R25,R26,R28,R29,R30,R46,R57</t>
  </si>
  <si>
    <r>
      <rPr>
        <sz val="11"/>
        <color indexed="8"/>
        <rFont val="宋体"/>
        <charset val="134"/>
      </rPr>
      <t>10K,</t>
    </r>
    <r>
      <rPr>
        <sz val="11"/>
        <color indexed="8"/>
        <rFont val="宋体"/>
        <charset val="134"/>
      </rPr>
      <t>1</t>
    </r>
    <r>
      <rPr>
        <sz val="11"/>
        <color indexed="8"/>
        <rFont val="宋体"/>
        <charset val="134"/>
      </rPr>
      <t>%</t>
    </r>
  </si>
  <si>
    <t>R17，R54</t>
  </si>
  <si>
    <t>15K,1%</t>
  </si>
  <si>
    <t>R21,R34</t>
  </si>
  <si>
    <t>45.3K,1%</t>
  </si>
  <si>
    <t>R31,R37</t>
  </si>
  <si>
    <t>1M,1%</t>
  </si>
  <si>
    <t>R2,R16,R35,R44,R47,R51</t>
  </si>
  <si>
    <t>110K,1%</t>
  </si>
  <si>
    <t>贴片磁珠</t>
  </si>
  <si>
    <t>FB1,FB2,FB3,FB4</t>
  </si>
  <si>
    <t>120R/100MHz，C14709</t>
  </si>
  <si>
    <t>肖特基二极管</t>
  </si>
  <si>
    <t>D4,D5</t>
  </si>
  <si>
    <t>SS34,C8678</t>
  </si>
  <si>
    <t>SMA</t>
  </si>
  <si>
    <t>D1,D2,D3</t>
  </si>
  <si>
    <t>BAV70,C68978</t>
  </si>
  <si>
    <t>SOT23</t>
  </si>
  <si>
    <t>贴片发光二极管</t>
  </si>
  <si>
    <t>D7,D10</t>
  </si>
  <si>
    <t>白,C2290</t>
  </si>
  <si>
    <t>D8</t>
  </si>
  <si>
    <t>红蓝双发光二极管，C965881</t>
  </si>
  <si>
    <t>侧贴</t>
  </si>
  <si>
    <t>D6</t>
  </si>
  <si>
    <t>WS2812,C42417498</t>
  </si>
  <si>
    <t>SMD5050-4P</t>
  </si>
  <si>
    <t>NMOS</t>
  </si>
  <si>
    <t>Q1,Q4,Q6</t>
  </si>
  <si>
    <t>2N7002,C8545</t>
  </si>
  <si>
    <t>PMOS</t>
  </si>
  <si>
    <t>Q2,Q3,Q5,Q7</t>
  </si>
  <si>
    <t>AO3401,C15127</t>
  </si>
  <si>
    <t>功率电感</t>
  </si>
  <si>
    <t>L1</t>
  </si>
  <si>
    <t>4.7uH,3A,WPN4020H4R7MT，C98363</t>
  </si>
  <si>
    <t>4020</t>
  </si>
  <si>
    <t>L2</t>
  </si>
  <si>
    <t>2.2uH,3A,SWPA4030S2R2MT，C36409</t>
  </si>
  <si>
    <t>4030</t>
  </si>
  <si>
    <t>wifi模块</t>
  </si>
  <si>
    <t>U1</t>
  </si>
  <si>
    <t>ESP32-S3-WROOM-1-N16R8，C2913202</t>
  </si>
  <si>
    <t>SMD,25.5x18mm</t>
  </si>
  <si>
    <t>充电管理IC</t>
  </si>
  <si>
    <t>U2</t>
  </si>
  <si>
    <t>TP4056，C725790</t>
  </si>
  <si>
    <t>SOP-8</t>
  </si>
  <si>
    <t>TF卡座</t>
  </si>
  <si>
    <t>U3</t>
  </si>
  <si>
    <t>TF-15x15，C111196</t>
  </si>
  <si>
    <t>smd</t>
  </si>
  <si>
    <t>TYPE-C</t>
  </si>
  <si>
    <t>U4</t>
  </si>
  <si>
    <t>TYPE-C-16P,C53207138</t>
  </si>
  <si>
    <t>SMD</t>
  </si>
  <si>
    <t>电源IC</t>
  </si>
  <si>
    <t>U5</t>
  </si>
  <si>
    <t>MT3608，C19189893</t>
  </si>
  <si>
    <t>SOT-23-6</t>
  </si>
  <si>
    <t>理想二极管</t>
  </si>
  <si>
    <t>U6，U7</t>
  </si>
  <si>
    <t>MX66100T,C53121238</t>
  </si>
  <si>
    <t>音频功放</t>
  </si>
  <si>
    <t>U8</t>
  </si>
  <si>
    <t>MAX98357AETE，C910544</t>
  </si>
  <si>
    <t>TQFN-16</t>
  </si>
  <si>
    <t>U9</t>
  </si>
  <si>
    <t>BL8039,C2924844</t>
  </si>
  <si>
    <t>SOT-23-5</t>
  </si>
  <si>
    <t>运放</t>
  </si>
  <si>
    <t>U10</t>
  </si>
  <si>
    <t>LMV321，C3014306</t>
  </si>
  <si>
    <t>TVS</t>
  </si>
  <si>
    <t>U14</t>
  </si>
  <si>
    <t>USBLC6-2SC6，
C7519</t>
  </si>
  <si>
    <t>拨轮开关</t>
  </si>
  <si>
    <t>SW1</t>
  </si>
  <si>
    <t>QS-301-AGS5P,C42377853</t>
  </si>
  <si>
    <t>SMD，5P</t>
  </si>
  <si>
    <t>按键开关</t>
  </si>
  <si>
    <t>SW2,SW3,SW4,SW5,SW6,SW7</t>
  </si>
  <si>
    <t>5.8 WSGT-3P CC，无锁，C22386787</t>
  </si>
  <si>
    <t>插件，弯插-3P,5.8x5.8mm，3P</t>
  </si>
  <si>
    <t>轻触开关</t>
  </si>
  <si>
    <t>SW8,SW9</t>
  </si>
  <si>
    <t>1TS026A-1100-0550-CT,C913779</t>
  </si>
  <si>
    <t>1.6*2.6mm,SMT</t>
  </si>
  <si>
    <t>屏幕端子</t>
  </si>
  <si>
    <t>J2</t>
  </si>
  <si>
    <t>线对板针座,ZX-ZH1.5-8PLT,C19272420</t>
  </si>
  <si>
    <t>插座</t>
  </si>
  <si>
    <t>J13</t>
  </si>
  <si>
    <t>HX-XH2.54-2PZZ，C42391660</t>
  </si>
  <si>
    <t>插件，2P</t>
  </si>
  <si>
    <t>J_NC</t>
  </si>
  <si>
    <t>J1，J14，H1,H2,H3,H4，J3,J43,J44,R15,R18,R20</t>
  </si>
  <si>
    <r>
      <rPr>
        <sz val="11"/>
        <color indexed="8"/>
        <rFont val="宋体"/>
        <charset val="134"/>
      </rPr>
      <t>N</t>
    </r>
    <r>
      <rPr>
        <sz val="11"/>
        <color indexed="8"/>
        <rFont val="宋体"/>
        <charset val="134"/>
      </rPr>
      <t>C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</si>
</sst>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  <numFmt numFmtId="177" formatCode="0.00_);[Red]\(0.00\)"/>
  </numFmts>
  <fonts count="23">
    <font>
      <sz val="11"/>
      <color indexed="8"/>
      <name val="宋体"/>
      <charset val="134"/>
    </font>
    <font>
      <sz val="26"/>
      <color indexed="8"/>
      <name val="宋体"/>
      <charset val="134"/>
    </font>
    <font>
      <sz val="16"/>
      <color indexed="8"/>
      <name val="宋体"/>
      <charset val="134"/>
    </font>
    <font>
      <b/>
      <sz val="16"/>
      <color indexed="8"/>
      <name val="宋体"/>
      <charset val="134"/>
    </font>
    <font>
      <b/>
      <sz val="11"/>
      <color indexed="8"/>
      <name val="宋体"/>
      <charset val="134"/>
    </font>
    <font>
      <sz val="11"/>
      <color theme="1"/>
      <name val="宋体"/>
      <charset val="134"/>
      <scheme val="minor"/>
    </font>
    <font>
      <sz val="11"/>
      <color indexed="10"/>
      <name val="宋体"/>
      <charset val="134"/>
    </font>
    <font>
      <u/>
      <sz val="11"/>
      <color indexed="12"/>
      <name val="宋体"/>
      <charset val="134"/>
    </font>
    <font>
      <u/>
      <sz val="11"/>
      <color indexed="20"/>
      <name val="宋体"/>
      <charset val="134"/>
    </font>
    <font>
      <b/>
      <sz val="18"/>
      <color indexed="56"/>
      <name val="宋体"/>
      <charset val="134"/>
    </font>
    <font>
      <i/>
      <sz val="11"/>
      <color indexed="23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56"/>
      <name val="宋体"/>
      <charset val="134"/>
    </font>
    <font>
      <sz val="11"/>
      <color indexed="62"/>
      <name val="宋体"/>
      <charset val="134"/>
    </font>
    <font>
      <b/>
      <sz val="11"/>
      <color indexed="63"/>
      <name val="宋体"/>
      <charset val="134"/>
    </font>
    <font>
      <b/>
      <sz val="11"/>
      <color indexed="52"/>
      <name val="宋体"/>
      <charset val="134"/>
    </font>
    <font>
      <b/>
      <sz val="11"/>
      <color indexed="9"/>
      <name val="宋体"/>
      <charset val="134"/>
    </font>
    <font>
      <sz val="11"/>
      <color indexed="52"/>
      <name val="宋体"/>
      <charset val="134"/>
    </font>
    <font>
      <sz val="11"/>
      <color indexed="17"/>
      <name val="宋体"/>
      <charset val="134"/>
    </font>
    <font>
      <sz val="11"/>
      <color indexed="20"/>
      <name val="宋体"/>
      <charset val="134"/>
    </font>
    <font>
      <sz val="11"/>
      <color indexed="60"/>
      <name val="宋体"/>
      <charset val="134"/>
    </font>
    <font>
      <sz val="11"/>
      <color indexed="9"/>
      <name val="宋体"/>
      <charset val="134"/>
    </font>
  </fonts>
  <fills count="2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0" fillId="3" borderId="7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11" applyNumberFormat="0" applyAlignment="0" applyProtection="0">
      <alignment vertical="center"/>
    </xf>
    <xf numFmtId="0" fontId="15" fillId="5" borderId="12" applyNumberFormat="0" applyAlignment="0" applyProtection="0">
      <alignment vertical="center"/>
    </xf>
    <xf numFmtId="0" fontId="16" fillId="5" borderId="11" applyNumberFormat="0" applyAlignment="0" applyProtection="0">
      <alignment vertical="center"/>
    </xf>
    <xf numFmtId="0" fontId="17" fillId="6" borderId="13" applyNumberFormat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4" fillId="0" borderId="15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0" fillId="4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0" fillId="2" borderId="0" xfId="0" applyFill="1" applyAlignment="1">
      <alignment vertical="center" wrapText="1"/>
    </xf>
    <xf numFmtId="0" fontId="0" fillId="2" borderId="0" xfId="0" applyFont="1" applyFill="1" applyAlignment="1">
      <alignment vertical="center" wrapText="1"/>
    </xf>
    <xf numFmtId="0" fontId="0" fillId="2" borderId="0" xfId="0" applyFill="1">
      <alignment vertical="center"/>
    </xf>
    <xf numFmtId="0" fontId="0" fillId="0" borderId="0" xfId="0" applyFill="1" applyAlignment="1">
      <alignment vertical="center" wrapText="1"/>
    </xf>
    <xf numFmtId="176" fontId="0" fillId="0" borderId="0" xfId="0" applyNumberFormat="1" applyFill="1" applyAlignment="1">
      <alignment horizontal="center" vertical="center" wrapText="1"/>
    </xf>
    <xf numFmtId="177" fontId="0" fillId="0" borderId="0" xfId="0" applyNumberFormat="1" applyFill="1" applyAlignment="1">
      <alignment horizontal="righ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2" fillId="0" borderId="2" xfId="0" applyFont="1" applyFill="1" applyBorder="1" applyAlignment="1">
      <alignment vertical="center" wrapText="1"/>
    </xf>
    <xf numFmtId="49" fontId="3" fillId="0" borderId="2" xfId="0" applyNumberFormat="1" applyFont="1" applyFill="1" applyBorder="1" applyAlignment="1">
      <alignment vertical="center" wrapText="1"/>
    </xf>
    <xf numFmtId="49" fontId="3" fillId="0" borderId="3" xfId="0" applyNumberFormat="1" applyFont="1" applyFill="1" applyBorder="1" applyAlignment="1">
      <alignment vertical="center" wrapText="1"/>
    </xf>
    <xf numFmtId="176" fontId="3" fillId="0" borderId="3" xfId="0" applyNumberFormat="1" applyFont="1" applyFill="1" applyBorder="1" applyAlignment="1">
      <alignment horizontal="center" vertical="center" wrapText="1"/>
    </xf>
    <xf numFmtId="177" fontId="3" fillId="0" borderId="3" xfId="0" applyNumberFormat="1" applyFont="1" applyFill="1" applyBorder="1" applyAlignment="1">
      <alignment horizontal="right" vertical="center" wrapText="1"/>
    </xf>
    <xf numFmtId="0" fontId="0" fillId="0" borderId="1" xfId="0" applyFont="1" applyFill="1" applyBorder="1" applyAlignment="1">
      <alignment vertical="center" wrapText="1"/>
    </xf>
    <xf numFmtId="49" fontId="4" fillId="0" borderId="1" xfId="0" applyNumberFormat="1" applyFont="1" applyFill="1" applyBorder="1" applyAlignment="1">
      <alignment vertical="center" wrapText="1"/>
    </xf>
    <xf numFmtId="49" fontId="0" fillId="0" borderId="1" xfId="0" applyNumberFormat="1" applyFill="1" applyBorder="1" applyAlignment="1">
      <alignment vertical="center" wrapText="1"/>
    </xf>
    <xf numFmtId="0" fontId="0" fillId="0" borderId="1" xfId="0" applyNumberFormat="1" applyFill="1" applyBorder="1" applyAlignment="1">
      <alignment horizontal="center" vertical="center" wrapText="1"/>
    </xf>
    <xf numFmtId="0" fontId="0" fillId="0" borderId="1" xfId="0" applyNumberFormat="1" applyFill="1" applyBorder="1" applyAlignment="1">
      <alignment horizontal="right" vertical="center" wrapText="1"/>
    </xf>
    <xf numFmtId="0" fontId="0" fillId="0" borderId="1" xfId="0" applyFill="1" applyBorder="1" applyAlignment="1">
      <alignment vertical="center" wrapText="1"/>
    </xf>
    <xf numFmtId="0" fontId="0" fillId="0" borderId="0" xfId="0" applyFill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0" fillId="2" borderId="1" xfId="0" applyFont="1" applyFill="1" applyBorder="1" applyAlignment="1">
      <alignment vertical="center" wrapText="1"/>
    </xf>
    <xf numFmtId="49" fontId="0" fillId="2" borderId="1" xfId="0" applyNumberFormat="1" applyFill="1" applyBorder="1" applyAlignment="1">
      <alignment vertical="center" wrapText="1"/>
    </xf>
    <xf numFmtId="176" fontId="0" fillId="2" borderId="1" xfId="0" applyNumberFormat="1" applyFill="1" applyBorder="1" applyAlignment="1">
      <alignment horizontal="center" vertical="center" wrapText="1"/>
    </xf>
    <xf numFmtId="177" fontId="0" fillId="2" borderId="1" xfId="0" applyNumberFormat="1" applyFill="1" applyBorder="1" applyAlignment="1">
      <alignment horizontal="right" vertical="center" wrapText="1"/>
    </xf>
    <xf numFmtId="0" fontId="0" fillId="2" borderId="0" xfId="0" applyFill="1" applyBorder="1" applyAlignment="1">
      <alignment vertical="center" wrapText="1"/>
    </xf>
    <xf numFmtId="0" fontId="0" fillId="2" borderId="0" xfId="0" applyFont="1" applyFill="1" applyBorder="1" applyAlignment="1">
      <alignment vertical="center" wrapText="1"/>
    </xf>
    <xf numFmtId="49" fontId="0" fillId="2" borderId="1" xfId="0" applyNumberFormat="1" applyFont="1" applyFill="1" applyBorder="1" applyAlignment="1">
      <alignment vertical="center" wrapText="1"/>
    </xf>
    <xf numFmtId="176" fontId="0" fillId="2" borderId="1" xfId="0" applyNumberFormat="1" applyFont="1" applyFill="1" applyBorder="1" applyAlignment="1">
      <alignment horizontal="center" vertical="center" wrapText="1"/>
    </xf>
    <xf numFmtId="177" fontId="0" fillId="2" borderId="1" xfId="0" applyNumberFormat="1" applyFont="1" applyFill="1" applyBorder="1" applyAlignment="1">
      <alignment horizontal="right" vertical="center" wrapText="1"/>
    </xf>
    <xf numFmtId="0" fontId="0" fillId="2" borderId="0" xfId="0" applyFont="1" applyFill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/>
    </xf>
    <xf numFmtId="49" fontId="0" fillId="2" borderId="1" xfId="0" applyNumberFormat="1" applyFont="1" applyFill="1" applyBorder="1" applyAlignment="1">
      <alignment horizontal="left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176" fontId="5" fillId="2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vertical="center"/>
    </xf>
    <xf numFmtId="0" fontId="0" fillId="2" borderId="4" xfId="0" applyFill="1" applyBorder="1" applyAlignment="1">
      <alignment vertical="center" wrapText="1"/>
    </xf>
    <xf numFmtId="0" fontId="5" fillId="2" borderId="5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0" fillId="2" borderId="5" xfId="0" applyFont="1" applyFill="1" applyBorder="1" applyAlignment="1">
      <alignment vertical="center" wrapText="1"/>
    </xf>
    <xf numFmtId="177" fontId="0" fillId="2" borderId="6" xfId="0" applyNumberFormat="1" applyFill="1" applyBorder="1" applyAlignment="1">
      <alignment horizontal="right" vertical="center" wrapText="1"/>
    </xf>
    <xf numFmtId="0" fontId="6" fillId="2" borderId="4" xfId="0" applyFont="1" applyFill="1" applyBorder="1" applyAlignment="1">
      <alignment horizontal="left" vertical="center" wrapText="1"/>
    </xf>
    <xf numFmtId="0" fontId="0" fillId="2" borderId="5" xfId="0" applyFill="1" applyBorder="1" applyAlignment="1">
      <alignment vertical="center" wrapText="1"/>
    </xf>
    <xf numFmtId="0" fontId="0" fillId="2" borderId="1" xfId="0" applyFill="1" applyBorder="1" applyAlignment="1">
      <alignment horizontal="left" vertical="center" wrapText="1"/>
    </xf>
    <xf numFmtId="0" fontId="0" fillId="2" borderId="6" xfId="0" applyFill="1" applyBorder="1" applyAlignment="1">
      <alignment vertical="center" wrapText="1"/>
    </xf>
    <xf numFmtId="0" fontId="5" fillId="2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0"/>
  <sheetViews>
    <sheetView tabSelected="1" zoomScaleSheetLayoutView="60" topLeftCell="A8" workbookViewId="0">
      <selection activeCell="K21" sqref="K21"/>
    </sheetView>
  </sheetViews>
  <sheetFormatPr defaultColWidth="9" defaultRowHeight="13.5"/>
  <cols>
    <col min="1" max="1" width="9" style="4" customWidth="1"/>
    <col min="2" max="2" width="27.6" style="4" customWidth="1"/>
    <col min="3" max="3" width="21.7416666666667" style="4" customWidth="1"/>
    <col min="4" max="4" width="12" style="4" customWidth="1"/>
    <col min="5" max="5" width="9" style="5"/>
    <col min="6" max="6" width="8.5" style="6" customWidth="1"/>
    <col min="7" max="7" width="10" style="4" customWidth="1"/>
    <col min="8" max="8" width="19.125" style="4" customWidth="1"/>
    <col min="9" max="10" width="9" style="4"/>
    <col min="11" max="11" width="28.625" style="4" customWidth="1"/>
    <col min="12" max="16384" width="9" style="4"/>
  </cols>
  <sheetData>
    <row r="1" ht="37.5" customHeight="1" spans="1:12">
      <c r="A1" s="7" t="s">
        <v>0</v>
      </c>
      <c r="B1" s="8"/>
      <c r="C1" s="8"/>
      <c r="D1" s="8"/>
      <c r="E1" s="8"/>
      <c r="F1" s="8"/>
      <c r="G1" s="8"/>
      <c r="H1" s="8"/>
    </row>
    <row r="2" ht="20.25" spans="1:12">
      <c r="A2" s="9" t="s">
        <v>1</v>
      </c>
      <c r="B2" s="10" t="s">
        <v>2</v>
      </c>
      <c r="C2" s="10" t="s">
        <v>3</v>
      </c>
      <c r="D2" s="11" t="s">
        <v>4</v>
      </c>
      <c r="E2" s="12" t="s">
        <v>5</v>
      </c>
      <c r="F2" s="13" t="s">
        <v>6</v>
      </c>
      <c r="G2" s="11" t="s">
        <v>7</v>
      </c>
      <c r="H2" s="11" t="s">
        <v>8</v>
      </c>
    </row>
    <row r="3" spans="1:12">
      <c r="A3" s="14" t="s">
        <v>9</v>
      </c>
      <c r="B3" s="15" t="s">
        <v>10</v>
      </c>
      <c r="C3" s="15"/>
      <c r="D3" s="16"/>
      <c r="E3" s="17">
        <v>1</v>
      </c>
      <c r="F3" s="18">
        <v>10</v>
      </c>
      <c r="G3" s="19">
        <f t="shared" ref="G3:G9" si="0">E3*F3</f>
        <v>10</v>
      </c>
      <c r="H3" s="15"/>
    </row>
    <row r="4" spans="1:12">
      <c r="A4" s="14" t="s">
        <v>11</v>
      </c>
      <c r="B4" s="15" t="s">
        <v>11</v>
      </c>
      <c r="C4" s="15"/>
      <c r="D4" s="16"/>
      <c r="E4" s="17">
        <v>1</v>
      </c>
      <c r="F4" s="18">
        <v>10</v>
      </c>
      <c r="G4" s="19">
        <f t="shared" si="0"/>
        <v>10</v>
      </c>
      <c r="H4" s="15"/>
      <c r="J4" s="20"/>
      <c r="K4" s="20"/>
      <c r="L4" s="20"/>
    </row>
    <row r="5" spans="1:12">
      <c r="A5" s="14" t="s">
        <v>12</v>
      </c>
      <c r="B5" s="15" t="s">
        <v>13</v>
      </c>
      <c r="C5" s="15"/>
      <c r="D5" s="16"/>
      <c r="E5" s="17">
        <v>1</v>
      </c>
      <c r="F5" s="18">
        <v>3</v>
      </c>
      <c r="G5" s="19">
        <f t="shared" si="0"/>
        <v>3</v>
      </c>
      <c r="H5" s="15"/>
      <c r="J5" s="20"/>
      <c r="K5" s="20"/>
      <c r="L5" s="20"/>
    </row>
    <row r="6" spans="1:12">
      <c r="A6" s="14" t="s">
        <v>14</v>
      </c>
      <c r="B6" s="15"/>
      <c r="C6" s="15"/>
      <c r="D6" s="16"/>
      <c r="E6" s="17">
        <v>1</v>
      </c>
      <c r="F6" s="18">
        <v>23</v>
      </c>
      <c r="G6" s="19">
        <f t="shared" si="0"/>
        <v>23</v>
      </c>
      <c r="H6" s="15"/>
      <c r="J6" s="20"/>
      <c r="K6" s="20"/>
      <c r="L6" s="20"/>
    </row>
    <row r="7" spans="1:12">
      <c r="A7" s="14" t="s">
        <v>15</v>
      </c>
      <c r="B7" s="15"/>
      <c r="C7" s="15"/>
      <c r="D7" s="16"/>
      <c r="E7" s="17">
        <v>1</v>
      </c>
      <c r="F7" s="18">
        <v>10</v>
      </c>
      <c r="G7" s="19">
        <f t="shared" si="0"/>
        <v>10</v>
      </c>
      <c r="H7" s="15"/>
      <c r="J7" s="20"/>
      <c r="K7" s="20"/>
      <c r="L7" s="20"/>
    </row>
    <row r="8" spans="1:12">
      <c r="A8" s="14" t="s">
        <v>16</v>
      </c>
      <c r="B8" s="15"/>
      <c r="C8" s="15"/>
      <c r="D8" s="16"/>
      <c r="E8" s="17">
        <v>1</v>
      </c>
      <c r="F8" s="18">
        <v>10</v>
      </c>
      <c r="G8" s="19">
        <f t="shared" si="0"/>
        <v>10</v>
      </c>
      <c r="H8" s="15"/>
      <c r="J8" s="20"/>
      <c r="K8" s="20"/>
      <c r="L8" s="20"/>
    </row>
    <row r="9" s="1" customFormat="1" ht="54" spans="1:12">
      <c r="A9" s="21" t="s">
        <v>17</v>
      </c>
      <c r="B9" s="22" t="s">
        <v>18</v>
      </c>
      <c r="C9" s="22" t="s">
        <v>19</v>
      </c>
      <c r="D9" s="23" t="s">
        <v>20</v>
      </c>
      <c r="E9" s="24">
        <v>26</v>
      </c>
      <c r="F9" s="25">
        <v>0.06</v>
      </c>
      <c r="G9" s="21">
        <f t="shared" si="0"/>
        <v>1.56</v>
      </c>
      <c r="H9" s="21"/>
      <c r="J9" s="26"/>
      <c r="K9" s="26"/>
      <c r="L9" s="26"/>
    </row>
    <row r="10" s="1" customFormat="1" ht="40.5" spans="1:12">
      <c r="A10" s="21" t="s">
        <v>17</v>
      </c>
      <c r="B10" s="22" t="s">
        <v>21</v>
      </c>
      <c r="C10" s="22" t="s">
        <v>22</v>
      </c>
      <c r="D10" s="23" t="s">
        <v>23</v>
      </c>
      <c r="E10" s="24">
        <v>16</v>
      </c>
      <c r="F10" s="25">
        <v>0.06</v>
      </c>
      <c r="G10" s="21">
        <f t="shared" ref="G10:G15" si="1">E10*F10</f>
        <v>0.96</v>
      </c>
      <c r="H10" s="22"/>
      <c r="J10" s="26"/>
      <c r="K10" s="27"/>
      <c r="L10" s="26"/>
    </row>
    <row r="11" s="1" customFormat="1" spans="1:12">
      <c r="A11" s="21" t="s">
        <v>17</v>
      </c>
      <c r="B11" s="22" t="s">
        <v>24</v>
      </c>
      <c r="C11" s="22" t="s">
        <v>25</v>
      </c>
      <c r="D11" s="28" t="s">
        <v>26</v>
      </c>
      <c r="E11" s="24">
        <v>2</v>
      </c>
      <c r="F11" s="25">
        <v>0.2</v>
      </c>
      <c r="G11" s="21">
        <f t="shared" si="1"/>
        <v>0.4</v>
      </c>
      <c r="H11" s="22"/>
      <c r="J11" s="26"/>
      <c r="K11" s="27"/>
      <c r="L11" s="26"/>
    </row>
    <row r="12" s="2" customFormat="1" ht="27" spans="1:12">
      <c r="A12" s="22" t="s">
        <v>27</v>
      </c>
      <c r="B12" s="22" t="s">
        <v>28</v>
      </c>
      <c r="C12" s="22" t="s">
        <v>29</v>
      </c>
      <c r="D12" s="28" t="s">
        <v>30</v>
      </c>
      <c r="E12" s="29">
        <v>1</v>
      </c>
      <c r="F12" s="30">
        <v>0.2</v>
      </c>
      <c r="G12" s="22">
        <f t="shared" si="1"/>
        <v>0.2</v>
      </c>
      <c r="H12" s="22"/>
      <c r="J12" s="27"/>
      <c r="K12" s="31"/>
      <c r="L12" s="27"/>
    </row>
    <row r="13" s="1" customFormat="1" ht="40.5" spans="1:12">
      <c r="A13" s="21" t="s">
        <v>31</v>
      </c>
      <c r="B13" s="22" t="s">
        <v>32</v>
      </c>
      <c r="C13" s="22" t="s">
        <v>33</v>
      </c>
      <c r="D13" s="28" t="s">
        <v>20</v>
      </c>
      <c r="E13" s="24">
        <v>17</v>
      </c>
      <c r="F13" s="25">
        <v>0.01</v>
      </c>
      <c r="G13" s="21">
        <f t="shared" si="1"/>
        <v>0.17</v>
      </c>
      <c r="H13" s="21"/>
      <c r="J13" s="26"/>
      <c r="K13" s="31"/>
      <c r="L13" s="26"/>
    </row>
    <row r="14" s="1" customFormat="1" spans="1:12">
      <c r="A14" s="21" t="s">
        <v>31</v>
      </c>
      <c r="B14" s="22" t="s">
        <v>34</v>
      </c>
      <c r="C14" s="22" t="s">
        <v>35</v>
      </c>
      <c r="D14" s="28" t="s">
        <v>20</v>
      </c>
      <c r="E14" s="24">
        <v>1</v>
      </c>
      <c r="F14" s="25">
        <v>0.01</v>
      </c>
      <c r="G14" s="21">
        <f t="shared" si="1"/>
        <v>0.01</v>
      </c>
      <c r="H14" s="21"/>
      <c r="J14" s="26"/>
      <c r="K14" s="31"/>
      <c r="L14" s="26"/>
    </row>
    <row r="15" s="3" customFormat="1" spans="1:12">
      <c r="A15" s="21" t="s">
        <v>31</v>
      </c>
      <c r="B15" s="22" t="s">
        <v>36</v>
      </c>
      <c r="C15" s="22" t="s">
        <v>37</v>
      </c>
      <c r="D15" s="28" t="s">
        <v>38</v>
      </c>
      <c r="E15" s="24">
        <v>1</v>
      </c>
      <c r="F15" s="25">
        <v>0.01</v>
      </c>
      <c r="G15" s="21">
        <f t="shared" si="1"/>
        <v>0.01</v>
      </c>
      <c r="H15" s="21"/>
      <c r="J15" s="26"/>
      <c r="K15" s="31"/>
      <c r="L15" s="26"/>
    </row>
    <row r="16" s="3" customFormat="1" spans="1:12">
      <c r="A16" s="21" t="s">
        <v>31</v>
      </c>
      <c r="B16" s="22" t="s">
        <v>39</v>
      </c>
      <c r="C16" s="22" t="s">
        <v>40</v>
      </c>
      <c r="D16" s="28" t="s">
        <v>38</v>
      </c>
      <c r="E16" s="24">
        <v>1</v>
      </c>
      <c r="F16" s="25">
        <v>0.01</v>
      </c>
      <c r="G16" s="21">
        <f t="shared" ref="G16:G28" si="2">E16*F16</f>
        <v>0.01</v>
      </c>
      <c r="H16" s="21"/>
      <c r="J16" s="26"/>
      <c r="K16" s="31"/>
      <c r="L16" s="26"/>
    </row>
    <row r="17" s="1" customFormat="1" spans="1:12">
      <c r="A17" s="21" t="s">
        <v>31</v>
      </c>
      <c r="B17" s="22" t="s">
        <v>41</v>
      </c>
      <c r="C17" s="22" t="s">
        <v>42</v>
      </c>
      <c r="D17" s="28" t="s">
        <v>20</v>
      </c>
      <c r="E17" s="24">
        <v>2</v>
      </c>
      <c r="F17" s="25">
        <v>0.01</v>
      </c>
      <c r="G17" s="21">
        <f t="shared" si="2"/>
        <v>0.02</v>
      </c>
      <c r="H17" s="21"/>
      <c r="J17" s="26"/>
      <c r="K17" s="31"/>
      <c r="L17" s="26"/>
    </row>
    <row r="18" s="1" customFormat="1" spans="1:12">
      <c r="A18" s="21" t="s">
        <v>31</v>
      </c>
      <c r="B18" s="22" t="s">
        <v>43</v>
      </c>
      <c r="C18" s="22" t="s">
        <v>44</v>
      </c>
      <c r="D18" s="28" t="s">
        <v>38</v>
      </c>
      <c r="E18" s="24">
        <v>3</v>
      </c>
      <c r="F18" s="25">
        <v>0.01</v>
      </c>
      <c r="G18" s="21">
        <f t="shared" si="2"/>
        <v>0.03</v>
      </c>
      <c r="H18" s="21"/>
      <c r="J18" s="26"/>
      <c r="K18" s="31"/>
      <c r="L18" s="26"/>
    </row>
    <row r="19" s="1" customFormat="1" ht="40.5" spans="1:12">
      <c r="A19" s="21" t="s">
        <v>31</v>
      </c>
      <c r="B19" s="22" t="s">
        <v>45</v>
      </c>
      <c r="C19" s="22" t="s">
        <v>46</v>
      </c>
      <c r="D19" s="28" t="s">
        <v>38</v>
      </c>
      <c r="E19" s="24">
        <v>16</v>
      </c>
      <c r="F19" s="25">
        <v>0.01</v>
      </c>
      <c r="G19" s="21">
        <f t="shared" si="2"/>
        <v>0.16</v>
      </c>
      <c r="H19" s="21"/>
      <c r="J19" s="26"/>
      <c r="K19" s="31"/>
      <c r="L19" s="26"/>
    </row>
    <row r="20" s="1" customFormat="1" spans="1:12">
      <c r="A20" s="21" t="s">
        <v>31</v>
      </c>
      <c r="B20" s="22" t="s">
        <v>47</v>
      </c>
      <c r="C20" s="22" t="s">
        <v>48</v>
      </c>
      <c r="D20" s="28" t="s">
        <v>38</v>
      </c>
      <c r="E20" s="24">
        <v>2</v>
      </c>
      <c r="F20" s="25">
        <v>0.01</v>
      </c>
      <c r="G20" s="21">
        <f t="shared" si="2"/>
        <v>0.02</v>
      </c>
      <c r="H20" s="21"/>
      <c r="J20" s="26"/>
      <c r="K20" s="31"/>
      <c r="L20" s="26"/>
    </row>
    <row r="21" s="3" customFormat="1" spans="1:12">
      <c r="A21" s="32" t="s">
        <v>31</v>
      </c>
      <c r="B21" s="22" t="s">
        <v>49</v>
      </c>
      <c r="C21" s="22" t="s">
        <v>50</v>
      </c>
      <c r="D21" s="33" t="s">
        <v>20</v>
      </c>
      <c r="E21" s="34">
        <v>2</v>
      </c>
      <c r="F21" s="25">
        <v>0.01</v>
      </c>
      <c r="G21" s="21">
        <f t="shared" si="2"/>
        <v>0.02</v>
      </c>
    </row>
    <row r="22" s="1" customFormat="1" spans="1:12">
      <c r="A22" s="32" t="s">
        <v>31</v>
      </c>
      <c r="B22" s="22" t="s">
        <v>51</v>
      </c>
      <c r="C22" s="22" t="s">
        <v>52</v>
      </c>
      <c r="D22" s="33" t="s">
        <v>20</v>
      </c>
      <c r="E22" s="34">
        <v>2</v>
      </c>
      <c r="F22" s="25">
        <v>0.01</v>
      </c>
      <c r="G22" s="21">
        <f t="shared" si="2"/>
        <v>0.02</v>
      </c>
    </row>
    <row r="23" s="1" customFormat="1" spans="1:12">
      <c r="A23" s="21" t="s">
        <v>31</v>
      </c>
      <c r="B23" s="22" t="s">
        <v>53</v>
      </c>
      <c r="C23" s="22" t="s">
        <v>54</v>
      </c>
      <c r="D23" s="28" t="s">
        <v>20</v>
      </c>
      <c r="E23" s="24">
        <v>6</v>
      </c>
      <c r="F23" s="25">
        <v>0.01</v>
      </c>
      <c r="G23" s="21">
        <f t="shared" si="2"/>
        <v>0.06</v>
      </c>
      <c r="H23" s="21"/>
      <c r="J23" s="26"/>
      <c r="K23" s="26"/>
      <c r="L23" s="26"/>
    </row>
    <row r="24" s="1" customFormat="1" spans="1:12">
      <c r="A24" s="22" t="s">
        <v>55</v>
      </c>
      <c r="B24" s="22" t="s">
        <v>56</v>
      </c>
      <c r="C24" s="22" t="s">
        <v>57</v>
      </c>
      <c r="D24" s="28" t="s">
        <v>26</v>
      </c>
      <c r="E24" s="24">
        <v>4</v>
      </c>
      <c r="F24" s="25">
        <v>0.1</v>
      </c>
      <c r="G24" s="21">
        <f t="shared" si="2"/>
        <v>0.4</v>
      </c>
      <c r="H24" s="21"/>
      <c r="J24" s="26"/>
      <c r="K24" s="31"/>
      <c r="L24" s="26"/>
    </row>
    <row r="25" s="1" customFormat="1" ht="27" spans="1:12">
      <c r="A25" s="22" t="s">
        <v>58</v>
      </c>
      <c r="B25" s="22" t="s">
        <v>59</v>
      </c>
      <c r="C25" s="22" t="s">
        <v>60</v>
      </c>
      <c r="D25" s="28" t="s">
        <v>61</v>
      </c>
      <c r="E25" s="24">
        <v>2</v>
      </c>
      <c r="F25" s="25">
        <v>0.22</v>
      </c>
      <c r="G25" s="21">
        <f t="shared" si="2"/>
        <v>0.44</v>
      </c>
      <c r="H25" s="21"/>
    </row>
    <row r="26" s="1" customFormat="1" ht="27" spans="1:12">
      <c r="A26" s="22" t="s">
        <v>58</v>
      </c>
      <c r="B26" s="35" t="s">
        <v>62</v>
      </c>
      <c r="C26" s="35" t="s">
        <v>63</v>
      </c>
      <c r="D26" s="28" t="s">
        <v>64</v>
      </c>
      <c r="E26" s="24">
        <v>3</v>
      </c>
      <c r="F26" s="25">
        <v>0.1</v>
      </c>
      <c r="G26" s="21">
        <f t="shared" si="2"/>
        <v>0.3</v>
      </c>
      <c r="H26" s="21"/>
    </row>
    <row r="27" s="1" customFormat="1" ht="27" spans="1:12">
      <c r="A27" s="35" t="s">
        <v>65</v>
      </c>
      <c r="B27" s="22" t="s">
        <v>66</v>
      </c>
      <c r="C27" s="22" t="s">
        <v>67</v>
      </c>
      <c r="D27" s="28" t="s">
        <v>26</v>
      </c>
      <c r="E27" s="24">
        <v>2</v>
      </c>
      <c r="F27" s="25">
        <v>0.07</v>
      </c>
      <c r="G27" s="21">
        <f t="shared" si="2"/>
        <v>0.14</v>
      </c>
      <c r="H27" s="21"/>
    </row>
    <row r="28" s="1" customFormat="1" ht="27" spans="1:12">
      <c r="A28" s="35" t="s">
        <v>65</v>
      </c>
      <c r="B28" s="22" t="s">
        <v>68</v>
      </c>
      <c r="C28" s="22" t="s">
        <v>69</v>
      </c>
      <c r="D28" s="28" t="s">
        <v>70</v>
      </c>
      <c r="E28" s="24">
        <v>1</v>
      </c>
      <c r="F28" s="25">
        <v>0.18</v>
      </c>
      <c r="G28" s="21">
        <f t="shared" si="2"/>
        <v>0.18</v>
      </c>
      <c r="H28" s="21"/>
    </row>
    <row r="29" s="1" customFormat="1" ht="27" spans="1:12">
      <c r="A29" s="35" t="s">
        <v>65</v>
      </c>
      <c r="B29" s="36" t="s">
        <v>71</v>
      </c>
      <c r="C29" s="22" t="s">
        <v>72</v>
      </c>
      <c r="D29" s="22" t="s">
        <v>73</v>
      </c>
      <c r="E29" s="37">
        <v>1</v>
      </c>
      <c r="F29" s="38">
        <v>0.3</v>
      </c>
      <c r="G29" s="38">
        <f>F29*E29</f>
        <v>0.3</v>
      </c>
      <c r="H29" s="39"/>
    </row>
    <row r="30" s="1" customFormat="1" spans="1:12">
      <c r="A30" s="35" t="s">
        <v>74</v>
      </c>
      <c r="B30" s="35" t="s">
        <v>75</v>
      </c>
      <c r="C30" s="35" t="s">
        <v>76</v>
      </c>
      <c r="D30" s="28" t="s">
        <v>64</v>
      </c>
      <c r="E30" s="24">
        <v>3</v>
      </c>
      <c r="F30" s="25">
        <v>0.1</v>
      </c>
      <c r="G30" s="21">
        <f t="shared" ref="G30:G49" si="3">E30*F30</f>
        <v>0.3</v>
      </c>
      <c r="H30" s="21"/>
    </row>
    <row r="31" s="1" customFormat="1" spans="1:12">
      <c r="A31" s="35" t="s">
        <v>77</v>
      </c>
      <c r="B31" s="35" t="s">
        <v>78</v>
      </c>
      <c r="C31" s="35" t="s">
        <v>79</v>
      </c>
      <c r="D31" s="28" t="s">
        <v>64</v>
      </c>
      <c r="E31" s="24">
        <v>4</v>
      </c>
      <c r="F31" s="25">
        <v>0.6</v>
      </c>
      <c r="G31" s="21">
        <f t="shared" si="3"/>
        <v>2.4</v>
      </c>
      <c r="H31" s="21"/>
    </row>
    <row r="32" s="3" customFormat="1" ht="27" spans="1:12">
      <c r="A32" s="22" t="s">
        <v>80</v>
      </c>
      <c r="B32" s="22" t="s">
        <v>81</v>
      </c>
      <c r="C32" s="22" t="s">
        <v>82</v>
      </c>
      <c r="D32" s="28" t="s">
        <v>83</v>
      </c>
      <c r="E32" s="24">
        <v>1</v>
      </c>
      <c r="F32" s="25">
        <v>0.7</v>
      </c>
      <c r="G32" s="21">
        <f t="shared" si="3"/>
        <v>0.7</v>
      </c>
      <c r="H32" s="21"/>
      <c r="J32" s="1"/>
      <c r="K32" s="1"/>
      <c r="L32" s="1"/>
    </row>
    <row r="33" s="3" customFormat="1" ht="27" spans="1:12">
      <c r="A33" s="22" t="s">
        <v>80</v>
      </c>
      <c r="B33" s="22" t="s">
        <v>84</v>
      </c>
      <c r="C33" s="22" t="s">
        <v>85</v>
      </c>
      <c r="D33" s="28" t="s">
        <v>86</v>
      </c>
      <c r="E33" s="24">
        <v>1</v>
      </c>
      <c r="F33" s="25">
        <v>0.4</v>
      </c>
      <c r="G33" s="21">
        <f t="shared" si="3"/>
        <v>0.4</v>
      </c>
      <c r="H33" s="21"/>
      <c r="J33" s="1"/>
      <c r="K33" s="1"/>
      <c r="L33" s="1"/>
    </row>
    <row r="34" s="1" customFormat="1" ht="27" spans="1:12">
      <c r="A34" s="40" t="s">
        <v>87</v>
      </c>
      <c r="B34" s="36" t="s">
        <v>88</v>
      </c>
      <c r="C34" s="35" t="s">
        <v>89</v>
      </c>
      <c r="D34" s="22" t="s">
        <v>90</v>
      </c>
      <c r="E34" s="41">
        <v>1</v>
      </c>
      <c r="F34" s="22">
        <v>32</v>
      </c>
      <c r="G34" s="21">
        <f t="shared" si="3"/>
        <v>32</v>
      </c>
      <c r="H34" s="39"/>
    </row>
    <row r="35" s="1" customFormat="1" ht="27" spans="1:12">
      <c r="A35" s="42" t="s">
        <v>91</v>
      </c>
      <c r="B35" s="22" t="s">
        <v>92</v>
      </c>
      <c r="C35" s="35" t="s">
        <v>93</v>
      </c>
      <c r="D35" s="28" t="s">
        <v>94</v>
      </c>
      <c r="E35" s="24">
        <v>1</v>
      </c>
      <c r="F35" s="43">
        <v>0.52</v>
      </c>
      <c r="G35" s="21">
        <f t="shared" si="3"/>
        <v>0.52</v>
      </c>
      <c r="H35" s="44"/>
    </row>
    <row r="36" s="1" customFormat="1" spans="1:12">
      <c r="A36" s="22" t="s">
        <v>95</v>
      </c>
      <c r="B36" s="22" t="s">
        <v>96</v>
      </c>
      <c r="C36" s="35" t="s">
        <v>97</v>
      </c>
      <c r="D36" s="28" t="s">
        <v>98</v>
      </c>
      <c r="E36" s="24">
        <v>1</v>
      </c>
      <c r="F36" s="25">
        <v>0.92</v>
      </c>
      <c r="G36" s="21">
        <f t="shared" si="3"/>
        <v>0.92</v>
      </c>
      <c r="H36" s="21"/>
      <c r="J36" s="26"/>
      <c r="K36" s="26"/>
      <c r="L36" s="26"/>
    </row>
    <row r="37" s="1" customFormat="1" spans="1:12">
      <c r="A37" s="22" t="s">
        <v>99</v>
      </c>
      <c r="B37" s="22" t="s">
        <v>100</v>
      </c>
      <c r="C37" s="35" t="s">
        <v>101</v>
      </c>
      <c r="D37" s="28" t="s">
        <v>102</v>
      </c>
      <c r="E37" s="24">
        <v>1</v>
      </c>
      <c r="F37" s="25">
        <v>0.4</v>
      </c>
      <c r="G37" s="21">
        <f t="shared" si="3"/>
        <v>0.4</v>
      </c>
      <c r="H37" s="21"/>
    </row>
    <row r="38" s="1" customFormat="1" spans="1:12">
      <c r="A38" s="21" t="s">
        <v>103</v>
      </c>
      <c r="B38" s="35" t="s">
        <v>104</v>
      </c>
      <c r="C38" s="35" t="s">
        <v>105</v>
      </c>
      <c r="D38" s="22" t="s">
        <v>106</v>
      </c>
      <c r="E38" s="41">
        <v>1</v>
      </c>
      <c r="F38" s="25">
        <v>0.8</v>
      </c>
      <c r="G38" s="21">
        <f t="shared" si="3"/>
        <v>0.8</v>
      </c>
      <c r="H38" s="21"/>
    </row>
    <row r="39" s="1" customFormat="1" ht="27" spans="1:12">
      <c r="A39" s="45" t="s">
        <v>107</v>
      </c>
      <c r="B39" s="35" t="s">
        <v>108</v>
      </c>
      <c r="C39" s="35" t="s">
        <v>109</v>
      </c>
      <c r="D39" s="22" t="s">
        <v>106</v>
      </c>
      <c r="E39" s="24">
        <v>2</v>
      </c>
      <c r="F39" s="43">
        <v>0.7</v>
      </c>
      <c r="G39" s="21">
        <f t="shared" si="3"/>
        <v>1.4</v>
      </c>
      <c r="H39" s="39"/>
    </row>
    <row r="40" s="1" customFormat="1" spans="1:12">
      <c r="A40" s="28" t="s">
        <v>110</v>
      </c>
      <c r="B40" s="28" t="s">
        <v>111</v>
      </c>
      <c r="C40" s="35" t="s">
        <v>112</v>
      </c>
      <c r="D40" s="28" t="s">
        <v>113</v>
      </c>
      <c r="E40" s="24">
        <v>1</v>
      </c>
      <c r="F40" s="21">
        <v>8.2</v>
      </c>
      <c r="G40" s="21">
        <f t="shared" si="3"/>
        <v>8.2</v>
      </c>
      <c r="H40" s="46"/>
    </row>
    <row r="41" s="1" customFormat="1" spans="1:12">
      <c r="A41" s="40" t="s">
        <v>103</v>
      </c>
      <c r="B41" s="22" t="s">
        <v>114</v>
      </c>
      <c r="C41" s="35" t="s">
        <v>115</v>
      </c>
      <c r="D41" s="22" t="s">
        <v>116</v>
      </c>
      <c r="E41" s="41">
        <v>1</v>
      </c>
      <c r="F41" s="22">
        <v>0.4</v>
      </c>
      <c r="G41" s="21">
        <f t="shared" si="3"/>
        <v>0.4</v>
      </c>
      <c r="H41" s="39"/>
    </row>
    <row r="42" s="1" customFormat="1" spans="1:12">
      <c r="A42" s="45" t="s">
        <v>117</v>
      </c>
      <c r="B42" s="22" t="s">
        <v>118</v>
      </c>
      <c r="C42" s="35" t="s">
        <v>119</v>
      </c>
      <c r="D42" s="28" t="s">
        <v>116</v>
      </c>
      <c r="E42" s="24">
        <v>1</v>
      </c>
      <c r="F42" s="47">
        <v>0.8</v>
      </c>
      <c r="G42" s="21">
        <f t="shared" si="3"/>
        <v>0.8</v>
      </c>
      <c r="H42" s="39"/>
    </row>
    <row r="43" s="1" customFormat="1" ht="27" spans="1:12">
      <c r="A43" s="48" t="s">
        <v>120</v>
      </c>
      <c r="B43" s="36" t="s">
        <v>121</v>
      </c>
      <c r="C43" s="35" t="s">
        <v>122</v>
      </c>
      <c r="D43" s="3" t="s">
        <v>106</v>
      </c>
      <c r="E43" s="41">
        <v>1</v>
      </c>
      <c r="F43" s="47">
        <v>1.1</v>
      </c>
      <c r="G43" s="21">
        <f t="shared" si="3"/>
        <v>1.1</v>
      </c>
      <c r="H43" s="39"/>
    </row>
    <row r="44" s="3" customFormat="1" ht="27" spans="1:12">
      <c r="A44" s="45" t="s">
        <v>123</v>
      </c>
      <c r="B44" s="22" t="s">
        <v>124</v>
      </c>
      <c r="C44" s="35" t="s">
        <v>125</v>
      </c>
      <c r="D44" s="28" t="s">
        <v>126</v>
      </c>
      <c r="E44" s="24">
        <v>1</v>
      </c>
      <c r="F44" s="47">
        <v>0.91</v>
      </c>
      <c r="G44" s="21">
        <f t="shared" si="3"/>
        <v>0.91</v>
      </c>
      <c r="H44" s="39"/>
    </row>
    <row r="45" s="3" customFormat="1" ht="40.5" spans="1:12">
      <c r="A45" s="45" t="s">
        <v>127</v>
      </c>
      <c r="B45" s="22" t="s">
        <v>128</v>
      </c>
      <c r="C45" s="35" t="s">
        <v>129</v>
      </c>
      <c r="D45" s="28" t="s">
        <v>130</v>
      </c>
      <c r="E45" s="24">
        <v>6</v>
      </c>
      <c r="F45" s="47">
        <v>0.87</v>
      </c>
      <c r="G45" s="21">
        <f t="shared" si="3"/>
        <v>5.22</v>
      </c>
      <c r="H45" s="39"/>
    </row>
    <row r="46" s="1" customFormat="1" ht="27" spans="1:12">
      <c r="A46" s="35" t="s">
        <v>131</v>
      </c>
      <c r="B46" s="22" t="s">
        <v>132</v>
      </c>
      <c r="C46" s="35" t="s">
        <v>133</v>
      </c>
      <c r="D46" s="28" t="s">
        <v>134</v>
      </c>
      <c r="E46" s="24">
        <v>2</v>
      </c>
      <c r="F46" s="25">
        <v>0.3</v>
      </c>
      <c r="G46" s="21">
        <f t="shared" si="3"/>
        <v>0.6</v>
      </c>
      <c r="H46" s="21"/>
    </row>
    <row r="47" s="3" customFormat="1" ht="27" spans="1:12">
      <c r="A47" s="45" t="s">
        <v>135</v>
      </c>
      <c r="B47" s="22" t="s">
        <v>136</v>
      </c>
      <c r="C47" s="35" t="s">
        <v>137</v>
      </c>
      <c r="D47" s="28" t="s">
        <v>102</v>
      </c>
      <c r="E47" s="24">
        <v>1</v>
      </c>
      <c r="F47" s="47">
        <v>0.52</v>
      </c>
      <c r="G47" s="21">
        <f t="shared" si="3"/>
        <v>0.52</v>
      </c>
      <c r="H47" s="39"/>
    </row>
    <row r="48" s="1" customFormat="1" ht="27" spans="1:12">
      <c r="A48" s="22" t="s">
        <v>138</v>
      </c>
      <c r="B48" s="22" t="s">
        <v>139</v>
      </c>
      <c r="C48" s="22" t="s">
        <v>140</v>
      </c>
      <c r="D48" s="28" t="s">
        <v>141</v>
      </c>
      <c r="E48" s="24">
        <v>1</v>
      </c>
      <c r="F48" s="22">
        <v>0.1</v>
      </c>
      <c r="G48" s="21">
        <f t="shared" si="3"/>
        <v>0.1</v>
      </c>
      <c r="H48" s="22"/>
    </row>
    <row r="49" s="1" customFormat="1" ht="27" spans="1:8">
      <c r="A49" s="22" t="s">
        <v>142</v>
      </c>
      <c r="B49" s="22" t="s">
        <v>143</v>
      </c>
      <c r="C49" s="22" t="s">
        <v>144</v>
      </c>
      <c r="D49" s="22"/>
      <c r="E49" s="24">
        <v>12</v>
      </c>
      <c r="F49" s="22">
        <v>0</v>
      </c>
      <c r="G49" s="21">
        <f t="shared" si="3"/>
        <v>0</v>
      </c>
      <c r="H49" s="22"/>
    </row>
    <row r="50" spans="1:8">
      <c r="G50" s="4">
        <f>SUM(G3:G46)</f>
        <v>128.48</v>
      </c>
    </row>
  </sheetData>
  <mergeCells count="1">
    <mergeCell ref="A1:H1"/>
  </mergeCells>
  <pageMargins left="0.7" right="0.7" top="0.75" bottom="0.75" header="0.3" footer="0.3"/>
  <pageSetup paperSize="9" orientation="portrait" horizontalDpi="300" vertic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 个人版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zhu</dc:creator>
  <cp:lastModifiedBy>黄佳</cp:lastModifiedBy>
  <cp:revision>1</cp:revision>
  <dcterms:created xsi:type="dcterms:W3CDTF">2013-03-12T09:09:00Z</dcterms:created>
  <dcterms:modified xsi:type="dcterms:W3CDTF">2026-08-11T08:54:53Z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2052-12.1.0.26936</vt:lpwstr>
  </property>
  <property fmtid="{D5CDD505-2E9C-101B-9397-08002B2CF9AE}" pid="3" name="ICV">
    <vt:lpwstr>4B0EF93BBCB74BBCB2F8097A5634E577_13</vt:lpwstr>
  </property>
  <property fmtid="{D5CDD505-2E9C-101B-9397-08002B2CF9AE}" pid="4" name="CalculationRule">
    <vt:i4>0</vt:i4>
  </property>
</Properties>
</file>